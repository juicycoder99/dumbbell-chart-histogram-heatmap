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esktop\simplexCT\Business Plan\simplexCT\Website\What we think\0-Excel Charts\3-How to - Dumbbell chart\New\"/>
    </mc:Choice>
  </mc:AlternateContent>
  <xr:revisionPtr revIDLastSave="0" documentId="13_ncr:1_{3D2F9F7B-038C-47F2-A6A6-A4858F0094E7}" xr6:coauthVersionLast="45" xr6:coauthVersionMax="45" xr10:uidLastSave="{00000000-0000-0000-0000-000000000000}"/>
  <bookViews>
    <workbookView xWindow="-98" yWindow="-98" windowWidth="25396" windowHeight="15346" tabRatio="685" xr2:uid="{00000000-000D-0000-FFFF-FFFF00000000}"/>
  </bookViews>
  <sheets>
    <sheet name="Dumbbell 1" sheetId="34" r:id="rId1"/>
    <sheet name="Dumbbell 2" sheetId="35" r:id="rId2"/>
    <sheet name="Range Bar" sheetId="3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5" i="36" l="1"/>
  <c r="F55" i="36"/>
  <c r="E55" i="36"/>
  <c r="G54" i="36"/>
  <c r="F54" i="36"/>
  <c r="E54" i="36"/>
  <c r="G53" i="36"/>
  <c r="F53" i="36"/>
  <c r="E53" i="36"/>
  <c r="G52" i="36"/>
  <c r="F52" i="36"/>
  <c r="E52" i="36"/>
  <c r="G51" i="36"/>
  <c r="F51" i="36"/>
  <c r="E51" i="36"/>
  <c r="G50" i="36"/>
  <c r="F50" i="36"/>
  <c r="E50" i="36"/>
  <c r="G49" i="36"/>
  <c r="F49" i="36"/>
  <c r="E49" i="36"/>
  <c r="G48" i="36"/>
  <c r="F48" i="36"/>
  <c r="E48" i="36"/>
  <c r="G47" i="36"/>
  <c r="F47" i="36"/>
  <c r="E47" i="36"/>
  <c r="G46" i="36"/>
  <c r="F46" i="36"/>
  <c r="E46" i="36"/>
  <c r="G45" i="36"/>
  <c r="F45" i="36"/>
  <c r="E45" i="36"/>
  <c r="G44" i="36"/>
  <c r="F44" i="36"/>
  <c r="E44" i="36"/>
  <c r="G43" i="36"/>
  <c r="F43" i="36"/>
  <c r="E43" i="36"/>
  <c r="G42" i="36"/>
  <c r="F42" i="36"/>
  <c r="E42" i="36"/>
  <c r="G41" i="36"/>
  <c r="F41" i="36"/>
  <c r="E41" i="36"/>
  <c r="G40" i="36"/>
  <c r="F40" i="36"/>
  <c r="E40" i="36"/>
  <c r="G39" i="36"/>
  <c r="F39" i="36"/>
  <c r="E39" i="36"/>
  <c r="G38" i="36"/>
  <c r="F38" i="36"/>
  <c r="E38" i="36"/>
  <c r="G37" i="36"/>
  <c r="F37" i="36"/>
  <c r="E37" i="36"/>
  <c r="G36" i="36"/>
  <c r="F36" i="36"/>
  <c r="E36" i="36"/>
  <c r="G35" i="36"/>
  <c r="F35" i="36"/>
  <c r="E35" i="36"/>
  <c r="G34" i="36"/>
  <c r="F34" i="36"/>
  <c r="E34" i="36"/>
  <c r="G33" i="36"/>
  <c r="F33" i="36"/>
  <c r="E33" i="36"/>
  <c r="G32" i="36"/>
  <c r="F32" i="36"/>
  <c r="E32" i="36"/>
  <c r="G31" i="36"/>
  <c r="F31" i="36"/>
  <c r="E31" i="36"/>
  <c r="G30" i="36"/>
  <c r="F30" i="36"/>
  <c r="E30" i="36"/>
  <c r="G29" i="36"/>
  <c r="F29" i="36"/>
  <c r="E29" i="36"/>
  <c r="G28" i="36"/>
  <c r="F28" i="36"/>
  <c r="E28" i="36"/>
  <c r="G27" i="36"/>
  <c r="F27" i="36"/>
  <c r="E27" i="36"/>
  <c r="G26" i="36"/>
  <c r="F26" i="36"/>
  <c r="E26" i="36"/>
  <c r="G25" i="36"/>
  <c r="F25" i="36"/>
  <c r="E25" i="36"/>
  <c r="G24" i="36"/>
  <c r="F24" i="36"/>
  <c r="E24" i="36"/>
  <c r="G23" i="36"/>
  <c r="F23" i="36"/>
  <c r="E23" i="36"/>
  <c r="G22" i="36"/>
  <c r="F22" i="36"/>
  <c r="E22" i="36"/>
  <c r="G21" i="36"/>
  <c r="F21" i="36"/>
  <c r="E21" i="36"/>
  <c r="G20" i="36"/>
  <c r="F20" i="36"/>
  <c r="E20" i="36"/>
  <c r="G19" i="36"/>
  <c r="F19" i="36"/>
  <c r="E19" i="36"/>
  <c r="G18" i="36"/>
  <c r="F18" i="36"/>
  <c r="E18" i="36"/>
  <c r="G17" i="36"/>
  <c r="F17" i="36"/>
  <c r="E17" i="36"/>
  <c r="G16" i="36"/>
  <c r="F16" i="36"/>
  <c r="E16" i="36"/>
  <c r="G15" i="36"/>
  <c r="F15" i="36"/>
  <c r="E15" i="36"/>
  <c r="G14" i="36"/>
  <c r="F14" i="36"/>
  <c r="E14" i="36"/>
  <c r="G13" i="36"/>
  <c r="F13" i="36"/>
  <c r="E13" i="36"/>
  <c r="G12" i="36"/>
  <c r="F12" i="36"/>
  <c r="E12" i="36"/>
  <c r="G11" i="36"/>
  <c r="F11" i="36"/>
  <c r="E11" i="36"/>
  <c r="G10" i="36"/>
  <c r="F10" i="36"/>
  <c r="E10" i="36"/>
  <c r="G9" i="36"/>
  <c r="F9" i="36"/>
  <c r="E9" i="36"/>
  <c r="G8" i="36"/>
  <c r="F8" i="36"/>
  <c r="E8" i="36"/>
  <c r="G7" i="36"/>
  <c r="F7" i="36"/>
  <c r="E7" i="36"/>
  <c r="G6" i="36"/>
  <c r="F6" i="36"/>
  <c r="E6" i="36"/>
  <c r="G5" i="36"/>
  <c r="F5" i="36"/>
  <c r="E5" i="36"/>
  <c r="G4" i="36"/>
  <c r="F4" i="36"/>
  <c r="E4" i="36"/>
  <c r="G3" i="36"/>
  <c r="F3" i="36"/>
  <c r="E3" i="36"/>
  <c r="G55" i="35"/>
  <c r="F55" i="35"/>
  <c r="E55" i="35"/>
  <c r="G54" i="35"/>
  <c r="F54" i="35"/>
  <c r="E54" i="35"/>
  <c r="G53" i="35"/>
  <c r="F53" i="35"/>
  <c r="E53" i="35"/>
  <c r="G52" i="35"/>
  <c r="F52" i="35"/>
  <c r="E52" i="35"/>
  <c r="G51" i="35"/>
  <c r="F51" i="35"/>
  <c r="E51" i="35"/>
  <c r="G50" i="35"/>
  <c r="F50" i="35"/>
  <c r="E50" i="35"/>
  <c r="G49" i="35"/>
  <c r="F49" i="35"/>
  <c r="E49" i="35"/>
  <c r="G48" i="35"/>
  <c r="F48" i="35"/>
  <c r="E48" i="35"/>
  <c r="G47" i="35"/>
  <c r="F47" i="35"/>
  <c r="E47" i="35"/>
  <c r="G46" i="35"/>
  <c r="F46" i="35"/>
  <c r="E46" i="35"/>
  <c r="G45" i="35"/>
  <c r="F45" i="35"/>
  <c r="E45" i="35"/>
  <c r="G44" i="35"/>
  <c r="F44" i="35"/>
  <c r="E44" i="35"/>
  <c r="G43" i="35"/>
  <c r="F43" i="35"/>
  <c r="E43" i="35"/>
  <c r="G42" i="35"/>
  <c r="F42" i="35"/>
  <c r="E42" i="35"/>
  <c r="G41" i="35"/>
  <c r="F41" i="35"/>
  <c r="E41" i="35"/>
  <c r="G40" i="35"/>
  <c r="F40" i="35"/>
  <c r="E40" i="35"/>
  <c r="G39" i="35"/>
  <c r="F39" i="35"/>
  <c r="E39" i="35"/>
  <c r="G38" i="35"/>
  <c r="F38" i="35"/>
  <c r="E38" i="35"/>
  <c r="G37" i="35"/>
  <c r="F37" i="35"/>
  <c r="E37" i="35"/>
  <c r="G36" i="35"/>
  <c r="F36" i="35"/>
  <c r="E36" i="35"/>
  <c r="G35" i="35"/>
  <c r="F35" i="35"/>
  <c r="E35" i="35"/>
  <c r="G34" i="35"/>
  <c r="F34" i="35"/>
  <c r="E34" i="35"/>
  <c r="G33" i="35"/>
  <c r="F33" i="35"/>
  <c r="E33" i="35"/>
  <c r="G32" i="35"/>
  <c r="F32" i="35"/>
  <c r="E32" i="35"/>
  <c r="G31" i="35"/>
  <c r="F31" i="35"/>
  <c r="E31" i="35"/>
  <c r="G30" i="35"/>
  <c r="F30" i="35"/>
  <c r="E30" i="35"/>
  <c r="G29" i="35"/>
  <c r="F29" i="35"/>
  <c r="E29" i="35"/>
  <c r="G28" i="35"/>
  <c r="F28" i="35"/>
  <c r="E28" i="35"/>
  <c r="G27" i="35"/>
  <c r="F27" i="35"/>
  <c r="E27" i="35"/>
  <c r="G26" i="35"/>
  <c r="F26" i="35"/>
  <c r="E26" i="35"/>
  <c r="G25" i="35"/>
  <c r="F25" i="35"/>
  <c r="E25" i="35"/>
  <c r="G24" i="35"/>
  <c r="F24" i="35"/>
  <c r="E24" i="35"/>
  <c r="G23" i="35"/>
  <c r="F23" i="35"/>
  <c r="E23" i="35"/>
  <c r="G22" i="35"/>
  <c r="F22" i="35"/>
  <c r="E22" i="35"/>
  <c r="G21" i="35"/>
  <c r="F21" i="35"/>
  <c r="E21" i="35"/>
  <c r="G20" i="35"/>
  <c r="F20" i="35"/>
  <c r="E20" i="35"/>
  <c r="G19" i="35"/>
  <c r="F19" i="35"/>
  <c r="E19" i="35"/>
  <c r="G18" i="35"/>
  <c r="F18" i="35"/>
  <c r="E18" i="35"/>
  <c r="G17" i="35"/>
  <c r="F17" i="35"/>
  <c r="E17" i="35"/>
  <c r="G16" i="35"/>
  <c r="F16" i="35"/>
  <c r="E16" i="35"/>
  <c r="G15" i="35"/>
  <c r="F15" i="35"/>
  <c r="E15" i="35"/>
  <c r="G14" i="35"/>
  <c r="F14" i="35"/>
  <c r="E14" i="35"/>
  <c r="G13" i="35"/>
  <c r="F13" i="35"/>
  <c r="E13" i="35"/>
  <c r="G12" i="35"/>
  <c r="F12" i="35"/>
  <c r="E12" i="35"/>
  <c r="G11" i="35"/>
  <c r="F11" i="35"/>
  <c r="E11" i="35"/>
  <c r="G10" i="35"/>
  <c r="F10" i="35"/>
  <c r="E10" i="35"/>
  <c r="G9" i="35"/>
  <c r="F9" i="35"/>
  <c r="E9" i="35"/>
  <c r="G8" i="35"/>
  <c r="F8" i="35"/>
  <c r="E8" i="35"/>
  <c r="G7" i="35"/>
  <c r="F7" i="35"/>
  <c r="E7" i="35"/>
  <c r="G6" i="35"/>
  <c r="F6" i="35"/>
  <c r="E6" i="35"/>
  <c r="G5" i="35"/>
  <c r="F5" i="35"/>
  <c r="E5" i="35"/>
  <c r="G4" i="35"/>
  <c r="F4" i="35"/>
  <c r="E4" i="35"/>
  <c r="G3" i="35"/>
  <c r="F3" i="35"/>
  <c r="E3" i="35"/>
  <c r="G55" i="34"/>
  <c r="F55" i="34"/>
  <c r="E55" i="34"/>
  <c r="G54" i="34"/>
  <c r="F54" i="34"/>
  <c r="E54" i="34"/>
  <c r="G53" i="34"/>
  <c r="F53" i="34"/>
  <c r="E53" i="34"/>
  <c r="G52" i="34"/>
  <c r="F52" i="34"/>
  <c r="E52" i="34"/>
  <c r="G51" i="34"/>
  <c r="F51" i="34"/>
  <c r="E51" i="34"/>
  <c r="G50" i="34"/>
  <c r="F50" i="34"/>
  <c r="E50" i="34"/>
  <c r="G49" i="34"/>
  <c r="F49" i="34"/>
  <c r="E49" i="34"/>
  <c r="G48" i="34"/>
  <c r="F48" i="34"/>
  <c r="E48" i="34"/>
  <c r="G47" i="34"/>
  <c r="F47" i="34"/>
  <c r="E47" i="34"/>
  <c r="G46" i="34"/>
  <c r="F46" i="34"/>
  <c r="E46" i="34"/>
  <c r="G45" i="34"/>
  <c r="F45" i="34"/>
  <c r="E45" i="34"/>
  <c r="G44" i="34"/>
  <c r="F44" i="34"/>
  <c r="E44" i="34"/>
  <c r="G43" i="34"/>
  <c r="F43" i="34"/>
  <c r="E43" i="34"/>
  <c r="G42" i="34"/>
  <c r="F42" i="34"/>
  <c r="E42" i="34"/>
  <c r="G41" i="34"/>
  <c r="F41" i="34"/>
  <c r="E41" i="34"/>
  <c r="G40" i="34"/>
  <c r="F40" i="34"/>
  <c r="E40" i="34"/>
  <c r="G39" i="34"/>
  <c r="F39" i="34"/>
  <c r="E39" i="34"/>
  <c r="G38" i="34"/>
  <c r="F38" i="34"/>
  <c r="E38" i="34"/>
  <c r="G37" i="34"/>
  <c r="F37" i="34"/>
  <c r="E37" i="34"/>
  <c r="G36" i="34"/>
  <c r="F36" i="34"/>
  <c r="E36" i="34"/>
  <c r="G35" i="34"/>
  <c r="F35" i="34"/>
  <c r="E35" i="34"/>
  <c r="G34" i="34"/>
  <c r="F34" i="34"/>
  <c r="E34" i="34"/>
  <c r="G33" i="34"/>
  <c r="F33" i="34"/>
  <c r="E33" i="34"/>
  <c r="G32" i="34"/>
  <c r="F32" i="34"/>
  <c r="E32" i="34"/>
  <c r="G31" i="34"/>
  <c r="F31" i="34"/>
  <c r="E31" i="34"/>
  <c r="G30" i="34"/>
  <c r="F30" i="34"/>
  <c r="E30" i="34"/>
  <c r="G29" i="34"/>
  <c r="F29" i="34"/>
  <c r="E29" i="34"/>
  <c r="G28" i="34"/>
  <c r="F28" i="34"/>
  <c r="E28" i="34"/>
  <c r="G27" i="34"/>
  <c r="F27" i="34"/>
  <c r="E27" i="34"/>
  <c r="G26" i="34"/>
  <c r="F26" i="34"/>
  <c r="E26" i="34"/>
  <c r="G25" i="34"/>
  <c r="F25" i="34"/>
  <c r="E25" i="34"/>
  <c r="G24" i="34"/>
  <c r="F24" i="34"/>
  <c r="E24" i="34"/>
  <c r="G23" i="34"/>
  <c r="F23" i="34"/>
  <c r="E23" i="34"/>
  <c r="G22" i="34"/>
  <c r="F22" i="34"/>
  <c r="E22" i="34"/>
  <c r="G21" i="34"/>
  <c r="F21" i="34"/>
  <c r="E21" i="34"/>
  <c r="G20" i="34"/>
  <c r="F20" i="34"/>
  <c r="E20" i="34"/>
  <c r="G19" i="34"/>
  <c r="F19" i="34"/>
  <c r="E19" i="34"/>
  <c r="G18" i="34"/>
  <c r="F18" i="34"/>
  <c r="E18" i="34"/>
  <c r="G17" i="34"/>
  <c r="F17" i="34"/>
  <c r="E17" i="34"/>
  <c r="G16" i="34"/>
  <c r="F16" i="34"/>
  <c r="E16" i="34"/>
  <c r="G15" i="34"/>
  <c r="F15" i="34"/>
  <c r="E15" i="34"/>
  <c r="G14" i="34"/>
  <c r="F14" i="34"/>
  <c r="E14" i="34"/>
  <c r="G13" i="34"/>
  <c r="F13" i="34"/>
  <c r="E13" i="34"/>
  <c r="G12" i="34"/>
  <c r="F12" i="34"/>
  <c r="E12" i="34"/>
  <c r="G11" i="34"/>
  <c r="F11" i="34"/>
  <c r="E11" i="34"/>
  <c r="G10" i="34"/>
  <c r="F10" i="34"/>
  <c r="E10" i="34"/>
  <c r="G9" i="34"/>
  <c r="F9" i="34"/>
  <c r="E9" i="34"/>
  <c r="G8" i="34"/>
  <c r="F8" i="34"/>
  <c r="E8" i="34"/>
  <c r="G7" i="34"/>
  <c r="F7" i="34"/>
  <c r="E7" i="34"/>
  <c r="G6" i="34"/>
  <c r="F6" i="34"/>
  <c r="E6" i="34"/>
  <c r="G5" i="34"/>
  <c r="F5" i="34"/>
  <c r="E5" i="34"/>
  <c r="G4" i="34"/>
  <c r="F4" i="34"/>
  <c r="E4" i="34"/>
  <c r="G3" i="34"/>
  <c r="F3" i="34"/>
  <c r="E3" i="34"/>
</calcChain>
</file>

<file path=xl/sharedStrings.xml><?xml version="1.0" encoding="utf-8"?>
<sst xmlns="http://schemas.openxmlformats.org/spreadsheetml/2006/main" count="180" uniqueCount="59">
  <si>
    <t>y</t>
  </si>
  <si>
    <t>State</t>
  </si>
  <si>
    <t>Texas</t>
  </si>
  <si>
    <t>California</t>
  </si>
  <si>
    <t>Florida</t>
  </si>
  <si>
    <t>Georgia</t>
  </si>
  <si>
    <t>North Carolina</t>
  </si>
  <si>
    <t>Pennsylvania</t>
  </si>
  <si>
    <t>New York</t>
  </si>
  <si>
    <t>Ohio</t>
  </si>
  <si>
    <t>Illinois</t>
  </si>
  <si>
    <t>South Carolina</t>
  </si>
  <si>
    <t>Michigan</t>
  </si>
  <si>
    <t>Tennessee</t>
  </si>
  <si>
    <t>Arizona</t>
  </si>
  <si>
    <t>Missouri</t>
  </si>
  <si>
    <t>Alabama</t>
  </si>
  <si>
    <t>Indiana</t>
  </si>
  <si>
    <t>Kentucky</t>
  </si>
  <si>
    <t>Virginia</t>
  </si>
  <si>
    <t>Louisiana</t>
  </si>
  <si>
    <t>Mississippi</t>
  </si>
  <si>
    <t>Oklahoma</t>
  </si>
  <si>
    <t>Washington</t>
  </si>
  <si>
    <t>Wisconsin</t>
  </si>
  <si>
    <t>New Jersey</t>
  </si>
  <si>
    <t>Colorado</t>
  </si>
  <si>
    <t>Arkansas</t>
  </si>
  <si>
    <t>Maryland</t>
  </si>
  <si>
    <t>Oregon</t>
  </si>
  <si>
    <t>Minnesota</t>
  </si>
  <si>
    <t>Kansas</t>
  </si>
  <si>
    <t>Nevada</t>
  </si>
  <si>
    <t>Iowa</t>
  </si>
  <si>
    <t>Massachusetts</t>
  </si>
  <si>
    <t>New Mexico</t>
  </si>
  <si>
    <t>Utah</t>
  </si>
  <si>
    <t>West Virginia</t>
  </si>
  <si>
    <t>Connecticut</t>
  </si>
  <si>
    <t>Nebraska</t>
  </si>
  <si>
    <t>Montana</t>
  </si>
  <si>
    <t>Idaho</t>
  </si>
  <si>
    <t>Maine</t>
  </si>
  <si>
    <t>Wyoming</t>
  </si>
  <si>
    <t>South Dakota</t>
  </si>
  <si>
    <t>North Dakota</t>
  </si>
  <si>
    <t>Delaware</t>
  </si>
  <si>
    <t>New Hampshire</t>
  </si>
  <si>
    <t>Hawaii</t>
  </si>
  <si>
    <t>Alaska</t>
  </si>
  <si>
    <t>Vermont</t>
  </si>
  <si>
    <t>Rhode Island</t>
  </si>
  <si>
    <t>District of Columbia</t>
  </si>
  <si>
    <t>Source: NHTSA National Highway Traffic Safety Administration.</t>
  </si>
  <si>
    <t>Traffic fatality rate per 100 million vehicle miles traveled by state</t>
  </si>
  <si>
    <t>Traffic fatality rate per 100 million vehicle miles traveled by state - 2012 - 2017</t>
  </si>
  <si>
    <r>
      <rPr>
        <sz val="10"/>
        <color theme="4"/>
        <rFont val="Trebuchet MS"/>
        <family val="2"/>
      </rPr>
      <t>2007</t>
    </r>
    <r>
      <rPr>
        <sz val="10"/>
        <rFont val="Trebuchet MS"/>
        <family val="2"/>
      </rPr>
      <t xml:space="preserve"> - </t>
    </r>
    <r>
      <rPr>
        <sz val="10"/>
        <color theme="5"/>
        <rFont val="Trebuchet MS"/>
        <family val="2"/>
      </rPr>
      <t>2017</t>
    </r>
  </si>
  <si>
    <t>+ error value</t>
  </si>
  <si>
    <t>- error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</si>
</sst>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,##0.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Calibri"/>
      <family val="2"/>
    </font>
    <font>
      <sz val="9"/>
      <color theme="1"/>
      <name val="Trebuchet MS"/>
      <family val="2"/>
    </font>
    <font>
      <sz val="8"/>
      <color theme="1"/>
      <name val="Trebuchet MS"/>
      <family val="2"/>
    </font>
    <font>
      <b/>
      <sz val="12"/>
      <color theme="1"/>
      <name val="Trebuchet MS"/>
      <family val="2"/>
    </font>
    <font>
      <sz val="10"/>
      <color theme="9"/>
      <name val="Trebuchet MS"/>
      <family val="2"/>
    </font>
    <font>
      <sz val="8"/>
      <color rgb="FF000000"/>
      <name val="Trebuchet MS"/>
      <family val="2"/>
    </font>
    <font>
      <sz val="10"/>
      <name val="Trebuchet MS"/>
      <family val="2"/>
    </font>
    <font>
      <sz val="10"/>
      <color theme="4"/>
      <name val="Trebuchet MS"/>
      <family val="2"/>
    </font>
    <font>
      <sz val="10"/>
      <color theme="5"/>
      <name val="Trebuchet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3" fillId="0" borderId="2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3" fillId="0" borderId="2" xfId="0" applyFont="1" applyFill="1" applyBorder="1" applyAlignment="1">
      <alignment horizontal="right"/>
    </xf>
    <xf numFmtId="164" fontId="1" fillId="0" borderId="4" xfId="0" applyNumberFormat="1" applyFont="1" applyBorder="1"/>
    <xf numFmtId="164" fontId="1" fillId="0" borderId="1" xfId="0" applyNumberFormat="1" applyFont="1" applyBorder="1"/>
    <xf numFmtId="164" fontId="1" fillId="0" borderId="5" xfId="0" applyNumberFormat="1" applyFont="1" applyBorder="1"/>
    <xf numFmtId="0" fontId="4" fillId="0" borderId="3" xfId="0" applyFont="1" applyBorder="1"/>
    <xf numFmtId="0" fontId="0" fillId="0" borderId="3" xfId="0" applyBorder="1"/>
    <xf numFmtId="165" fontId="1" fillId="0" borderId="4" xfId="0" applyNumberFormat="1" applyFont="1" applyBorder="1"/>
    <xf numFmtId="165" fontId="1" fillId="0" borderId="1" xfId="0" applyNumberFormat="1" applyFont="1" applyBorder="1"/>
    <xf numFmtId="165" fontId="1" fillId="0" borderId="5" xfId="0" applyNumberFormat="1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applyBorder="1"/>
    <xf numFmtId="0" fontId="3" fillId="0" borderId="0" xfId="0" applyFont="1" applyFill="1" applyBorder="1" applyAlignment="1">
      <alignment horizontal="right"/>
    </xf>
    <xf numFmtId="165" fontId="1" fillId="0" borderId="0" xfId="0" applyNumberFormat="1" applyFont="1" applyBorder="1"/>
    <xf numFmtId="0" fontId="3" fillId="0" borderId="2" xfId="0" quotePrefix="1" applyFont="1" applyFill="1" applyBorder="1" applyAlignment="1">
      <alignment horizontal="right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'Dumbbell 1'!$D$2</c:f>
              <c:strCache>
                <c:ptCount val="1"/>
                <c:pt idx="0">
                  <c:v>2017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'Dumbbell 1'!$B$3:$B$55</c:f>
              <c:strCache>
                <c:ptCount val="52"/>
                <c:pt idx="1">
                  <c:v>Massachusetts</c:v>
                </c:pt>
                <c:pt idx="2">
                  <c:v>Minnesota</c:v>
                </c:pt>
                <c:pt idx="3">
                  <c:v>New Hampshire</c:v>
                </c:pt>
                <c:pt idx="4">
                  <c:v>New Jersey</c:v>
                </c:pt>
                <c:pt idx="5">
                  <c:v>New York</c:v>
                </c:pt>
                <c:pt idx="6">
                  <c:v>District of Columbia</c:v>
                </c:pt>
                <c:pt idx="7">
                  <c:v>Utah</c:v>
                </c:pt>
                <c:pt idx="8">
                  <c:v>Connecticut</c:v>
                </c:pt>
                <c:pt idx="9">
                  <c:v>Washington</c:v>
                </c:pt>
                <c:pt idx="10">
                  <c:v>Maryland</c:v>
                </c:pt>
                <c:pt idx="11">
                  <c:v>Vermont</c:v>
                </c:pt>
                <c:pt idx="12">
                  <c:v>Wisconsin</c:v>
                </c:pt>
                <c:pt idx="13">
                  <c:v>Virginia</c:v>
                </c:pt>
                <c:pt idx="14">
                  <c:v>Iowa</c:v>
                </c:pt>
                <c:pt idx="15">
                  <c:v>Ohio</c:v>
                </c:pt>
                <c:pt idx="16">
                  <c:v>Hawaii</c:v>
                </c:pt>
                <c:pt idx="17">
                  <c:v>Illinois</c:v>
                </c:pt>
                <c:pt idx="18">
                  <c:v>Michigan</c:v>
                </c:pt>
                <c:pt idx="19">
                  <c:v>Rhode Island</c:v>
                </c:pt>
                <c:pt idx="20">
                  <c:v>Nebraska</c:v>
                </c:pt>
                <c:pt idx="21">
                  <c:v>Indiana</c:v>
                </c:pt>
                <c:pt idx="22">
                  <c:v>Pennsylvania</c:v>
                </c:pt>
                <c:pt idx="23">
                  <c:v>California</c:v>
                </c:pt>
                <c:pt idx="24">
                  <c:v>Nevada</c:v>
                </c:pt>
                <c:pt idx="25">
                  <c:v>Delaware</c:v>
                </c:pt>
                <c:pt idx="26">
                  <c:v>Maine</c:v>
                </c:pt>
                <c:pt idx="27">
                  <c:v>North Carolina</c:v>
                </c:pt>
                <c:pt idx="28">
                  <c:v>North Dakota</c:v>
                </c:pt>
                <c:pt idx="29">
                  <c:v>Oregon</c:v>
                </c:pt>
                <c:pt idx="30">
                  <c:v>Colorado</c:v>
                </c:pt>
                <c:pt idx="31">
                  <c:v>Georgia</c:v>
                </c:pt>
                <c:pt idx="32">
                  <c:v>Missouri</c:v>
                </c:pt>
                <c:pt idx="33">
                  <c:v>Tennessee</c:v>
                </c:pt>
                <c:pt idx="34">
                  <c:v>Wyoming</c:v>
                </c:pt>
                <c:pt idx="35">
                  <c:v>New Mexico</c:v>
                </c:pt>
                <c:pt idx="36">
                  <c:v>Oklahoma</c:v>
                </c:pt>
                <c:pt idx="37">
                  <c:v>Alabama</c:v>
                </c:pt>
                <c:pt idx="38">
                  <c:v>South Dakota</c:v>
                </c:pt>
                <c:pt idx="39">
                  <c:v>Texas</c:v>
                </c:pt>
                <c:pt idx="40">
                  <c:v>Florida</c:v>
                </c:pt>
                <c:pt idx="41">
                  <c:v>Idaho</c:v>
                </c:pt>
                <c:pt idx="42">
                  <c:v>Alaska</c:v>
                </c:pt>
                <c:pt idx="43">
                  <c:v>Kansas</c:v>
                </c:pt>
                <c:pt idx="44">
                  <c:v>Arkansas</c:v>
                </c:pt>
                <c:pt idx="45">
                  <c:v>Montana</c:v>
                </c:pt>
                <c:pt idx="46">
                  <c:v>Arizona</c:v>
                </c:pt>
                <c:pt idx="47">
                  <c:v>Louisiana</c:v>
                </c:pt>
                <c:pt idx="48">
                  <c:v>Kentucky</c:v>
                </c:pt>
                <c:pt idx="49">
                  <c:v>West Virginia</c:v>
                </c:pt>
                <c:pt idx="50">
                  <c:v>Mississippi</c:v>
                </c:pt>
                <c:pt idx="51">
                  <c:v>South Carolina</c:v>
                </c:pt>
              </c:strCache>
            </c:strRef>
          </c:cat>
          <c:val>
            <c:numRef>
              <c:f>'Dumbbell 1'!$D$3:$D$55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E-4BBC-B8C1-3F979D265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457736"/>
        <c:axId val="395458128"/>
      </c:barChart>
      <c:scatterChart>
        <c:scatterStyle val="lineMarker"/>
        <c:varyColors val="0"/>
        <c:ser>
          <c:idx val="1"/>
          <c:order val="1"/>
          <c:tx>
            <c:v>Fatality rate 2017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'Dumbbell 1'!$G$3:$G$55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plus>
            <c:minus>
              <c:numRef>
                <c:f>'Dumbbell 1'!$F$3:$F$55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'Dumbbell 1'!$D$3:$D$55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xVal>
          <c:yVal>
            <c:numRef>
              <c:f>'Dumbbell 1'!$E$3:$E$55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E-4BBC-B8C1-3F979D265FE7}"/>
            </c:ext>
          </c:extLst>
        </c:ser>
        <c:ser>
          <c:idx val="2"/>
          <c:order val="2"/>
          <c:tx>
            <c:strRef>
              <c:f>'Dumbbell 1'!$C$2</c:f>
              <c:strCache>
                <c:ptCount val="1"/>
                <c:pt idx="0">
                  <c:v>2007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'Dumbbell 1'!$F$3:$F$55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plus>
            <c:minus>
              <c:numRef>
                <c:f>'Dumbbell 1'!$G$3:$G$55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'Dumbbell 1'!$C$3:$C$55</c:f>
              <c:numCache>
                <c:formatCode>#,##0.0</c:formatCode>
                <c:ptCount val="53"/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1.2</c:v>
                </c:pt>
                <c:pt idx="7">
                  <c:v>1.1000000000000001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0.9</c:v>
                </c:pt>
                <c:pt idx="12">
                  <c:v>1.3</c:v>
                </c:pt>
                <c:pt idx="13">
                  <c:v>1.3</c:v>
                </c:pt>
                <c:pt idx="14">
                  <c:v>1.4</c:v>
                </c:pt>
                <c:pt idx="15">
                  <c:v>1.1000000000000001</c:v>
                </c:pt>
                <c:pt idx="16">
                  <c:v>1.3</c:v>
                </c:pt>
                <c:pt idx="17">
                  <c:v>1.2</c:v>
                </c:pt>
                <c:pt idx="18">
                  <c:v>1</c:v>
                </c:pt>
                <c:pt idx="19">
                  <c:v>0.8</c:v>
                </c:pt>
                <c:pt idx="20">
                  <c:v>1.3</c:v>
                </c:pt>
                <c:pt idx="21">
                  <c:v>1.2</c:v>
                </c:pt>
                <c:pt idx="22">
                  <c:v>1.4</c:v>
                </c:pt>
                <c:pt idx="23">
                  <c:v>1.2</c:v>
                </c:pt>
                <c:pt idx="24">
                  <c:v>1.7</c:v>
                </c:pt>
                <c:pt idx="25">
                  <c:v>1.2</c:v>
                </c:pt>
                <c:pt idx="26">
                  <c:v>1.2</c:v>
                </c:pt>
                <c:pt idx="27">
                  <c:v>1.6</c:v>
                </c:pt>
                <c:pt idx="28">
                  <c:v>1.4</c:v>
                </c:pt>
                <c:pt idx="29">
                  <c:v>1.3</c:v>
                </c:pt>
                <c:pt idx="30">
                  <c:v>1.1000000000000001</c:v>
                </c:pt>
                <c:pt idx="31">
                  <c:v>1.5</c:v>
                </c:pt>
                <c:pt idx="32">
                  <c:v>1.4</c:v>
                </c:pt>
                <c:pt idx="33">
                  <c:v>1.7</c:v>
                </c:pt>
                <c:pt idx="34">
                  <c:v>1.6</c:v>
                </c:pt>
                <c:pt idx="35">
                  <c:v>1.5</c:v>
                </c:pt>
                <c:pt idx="36">
                  <c:v>1.6</c:v>
                </c:pt>
                <c:pt idx="37">
                  <c:v>1.8</c:v>
                </c:pt>
                <c:pt idx="38">
                  <c:v>1.6</c:v>
                </c:pt>
                <c:pt idx="39">
                  <c:v>1.4</c:v>
                </c:pt>
                <c:pt idx="40">
                  <c:v>1.6</c:v>
                </c:pt>
                <c:pt idx="41">
                  <c:v>1.6</c:v>
                </c:pt>
                <c:pt idx="42">
                  <c:v>1.6</c:v>
                </c:pt>
                <c:pt idx="43">
                  <c:v>1.4</c:v>
                </c:pt>
                <c:pt idx="44">
                  <c:v>2</c:v>
                </c:pt>
                <c:pt idx="45">
                  <c:v>2.5</c:v>
                </c:pt>
                <c:pt idx="46">
                  <c:v>1.7</c:v>
                </c:pt>
                <c:pt idx="47">
                  <c:v>2.2000000000000002</c:v>
                </c:pt>
                <c:pt idx="48">
                  <c:v>1.8</c:v>
                </c:pt>
                <c:pt idx="49">
                  <c:v>2.1</c:v>
                </c:pt>
                <c:pt idx="50">
                  <c:v>2</c:v>
                </c:pt>
                <c:pt idx="51">
                  <c:v>2.1</c:v>
                </c:pt>
              </c:numCache>
            </c:numRef>
          </c:xVal>
          <c:yVal>
            <c:numRef>
              <c:f>'Dumbbell 1'!$E$3:$E$55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E-4BBC-B8C1-3F979D265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35088"/>
        <c:axId val="559034760"/>
      </c:scatterChart>
      <c:catAx>
        <c:axId val="39545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8128"/>
        <c:crosses val="autoZero"/>
        <c:auto val="1"/>
        <c:lblAlgn val="ctr"/>
        <c:lblOffset val="100"/>
        <c:tickLblSkip val="1"/>
        <c:noMultiLvlLbl val="0"/>
      </c:catAx>
      <c:valAx>
        <c:axId val="395458128"/>
        <c:scaling>
          <c:orientation val="minMax"/>
          <c:max val="2.6"/>
          <c:min val="0.5"/>
        </c:scaling>
        <c:delete val="0"/>
        <c:axPos val="b"/>
        <c:numFmt formatCode="#,##0.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7736"/>
        <c:crosses val="autoZero"/>
        <c:crossBetween val="midCat"/>
        <c:majorUnit val="0.30000000000000004"/>
      </c:valAx>
      <c:valAx>
        <c:axId val="559034760"/>
        <c:scaling>
          <c:orientation val="minMax"/>
          <c:max val="1"/>
        </c:scaling>
        <c:delete val="1"/>
        <c:axPos val="r"/>
        <c:numFmt formatCode="#,##0.000" sourceLinked="1"/>
        <c:majorTickMark val="out"/>
        <c:minorTickMark val="none"/>
        <c:tickLblPos val="nextTo"/>
        <c:crossAx val="559035088"/>
        <c:crosses val="max"/>
        <c:crossBetween val="midCat"/>
      </c:valAx>
      <c:valAx>
        <c:axId val="559035088"/>
        <c:scaling>
          <c:orientation val="minMax"/>
          <c:min val="0.5"/>
        </c:scaling>
        <c:delete val="0"/>
        <c:axPos val="t"/>
        <c:numFmt formatCode="#,##0.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59034760"/>
        <c:crosses val="max"/>
        <c:crossBetween val="midCat"/>
        <c:majorUnit val="0.30000000000000004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'Dumbbell 2'!$D$2</c:f>
              <c:strCache>
                <c:ptCount val="1"/>
                <c:pt idx="0">
                  <c:v>2017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'Dumbbell 2'!$B$3:$B$55</c:f>
              <c:strCache>
                <c:ptCount val="52"/>
                <c:pt idx="1">
                  <c:v>Massachusetts</c:v>
                </c:pt>
                <c:pt idx="2">
                  <c:v>Minnesota</c:v>
                </c:pt>
                <c:pt idx="3">
                  <c:v>New Hampshire</c:v>
                </c:pt>
                <c:pt idx="4">
                  <c:v>New Jersey</c:v>
                </c:pt>
                <c:pt idx="5">
                  <c:v>New York</c:v>
                </c:pt>
                <c:pt idx="6">
                  <c:v>District of Columbia</c:v>
                </c:pt>
                <c:pt idx="7">
                  <c:v>Utah</c:v>
                </c:pt>
                <c:pt idx="8">
                  <c:v>Connecticut</c:v>
                </c:pt>
                <c:pt idx="9">
                  <c:v>Washington</c:v>
                </c:pt>
                <c:pt idx="10">
                  <c:v>Maryland</c:v>
                </c:pt>
                <c:pt idx="11">
                  <c:v>Vermont</c:v>
                </c:pt>
                <c:pt idx="12">
                  <c:v>Wisconsin</c:v>
                </c:pt>
                <c:pt idx="13">
                  <c:v>Virginia</c:v>
                </c:pt>
                <c:pt idx="14">
                  <c:v>Iowa</c:v>
                </c:pt>
                <c:pt idx="15">
                  <c:v>Ohio</c:v>
                </c:pt>
                <c:pt idx="16">
                  <c:v>Hawaii</c:v>
                </c:pt>
                <c:pt idx="17">
                  <c:v>Illinois</c:v>
                </c:pt>
                <c:pt idx="18">
                  <c:v>Michigan</c:v>
                </c:pt>
                <c:pt idx="19">
                  <c:v>Rhode Island</c:v>
                </c:pt>
                <c:pt idx="20">
                  <c:v>Nebraska</c:v>
                </c:pt>
                <c:pt idx="21">
                  <c:v>Indiana</c:v>
                </c:pt>
                <c:pt idx="22">
                  <c:v>Pennsylvania</c:v>
                </c:pt>
                <c:pt idx="23">
                  <c:v>California</c:v>
                </c:pt>
                <c:pt idx="24">
                  <c:v>Nevada</c:v>
                </c:pt>
                <c:pt idx="25">
                  <c:v>Delaware</c:v>
                </c:pt>
                <c:pt idx="26">
                  <c:v>Maine</c:v>
                </c:pt>
                <c:pt idx="27">
                  <c:v>North Carolina</c:v>
                </c:pt>
                <c:pt idx="28">
                  <c:v>North Dakota</c:v>
                </c:pt>
                <c:pt idx="29">
                  <c:v>Oregon</c:v>
                </c:pt>
                <c:pt idx="30">
                  <c:v>Colorado</c:v>
                </c:pt>
                <c:pt idx="31">
                  <c:v>Georgia</c:v>
                </c:pt>
                <c:pt idx="32">
                  <c:v>Missouri</c:v>
                </c:pt>
                <c:pt idx="33">
                  <c:v>Tennessee</c:v>
                </c:pt>
                <c:pt idx="34">
                  <c:v>Wyoming</c:v>
                </c:pt>
                <c:pt idx="35">
                  <c:v>New Mexico</c:v>
                </c:pt>
                <c:pt idx="36">
                  <c:v>Oklahoma</c:v>
                </c:pt>
                <c:pt idx="37">
                  <c:v>Alabama</c:v>
                </c:pt>
                <c:pt idx="38">
                  <c:v>South Dakota</c:v>
                </c:pt>
                <c:pt idx="39">
                  <c:v>Texas</c:v>
                </c:pt>
                <c:pt idx="40">
                  <c:v>Florida</c:v>
                </c:pt>
                <c:pt idx="41">
                  <c:v>Idaho</c:v>
                </c:pt>
                <c:pt idx="42">
                  <c:v>Alaska</c:v>
                </c:pt>
                <c:pt idx="43">
                  <c:v>Kansas</c:v>
                </c:pt>
                <c:pt idx="44">
                  <c:v>Arkansas</c:v>
                </c:pt>
                <c:pt idx="45">
                  <c:v>Montana</c:v>
                </c:pt>
                <c:pt idx="46">
                  <c:v>Arizona</c:v>
                </c:pt>
                <c:pt idx="47">
                  <c:v>Louisiana</c:v>
                </c:pt>
                <c:pt idx="48">
                  <c:v>Kentucky</c:v>
                </c:pt>
                <c:pt idx="49">
                  <c:v>West Virginia</c:v>
                </c:pt>
                <c:pt idx="50">
                  <c:v>Mississippi</c:v>
                </c:pt>
                <c:pt idx="51">
                  <c:v>South Carolina</c:v>
                </c:pt>
              </c:strCache>
            </c:strRef>
          </c:cat>
          <c:val>
            <c:numRef>
              <c:f>'Dumbbell 2'!$D$3:$D$55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95F-87C0-11774040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457736"/>
        <c:axId val="395458128"/>
      </c:barChart>
      <c:scatterChart>
        <c:scatterStyle val="lineMarker"/>
        <c:varyColors val="0"/>
        <c:ser>
          <c:idx val="1"/>
          <c:order val="1"/>
          <c:tx>
            <c:v>Fatality rate 2017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C5-495F-87C0-11774040908B}"/>
                </c:ext>
              </c:extLst>
            </c:dLbl>
            <c:dLbl>
              <c:idx val="1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C5-495F-87C0-11774040908B}"/>
                </c:ext>
              </c:extLst>
            </c:dLbl>
            <c:dLbl>
              <c:idx val="1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5-495F-87C0-11774040908B}"/>
                </c:ext>
              </c:extLst>
            </c:dLbl>
            <c:dLbl>
              <c:idx val="3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C5-495F-87C0-11774040908B}"/>
                </c:ext>
              </c:extLst>
            </c:dLbl>
            <c:dLbl>
              <c:idx val="4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C5-495F-87C0-11774040908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1"/>
            <c:plus>
              <c:numRef>
                <c:f>'Dumbbell 2'!$G$3:$G$55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plus>
            <c:minus>
              <c:numRef>
                <c:f>'Dumbbell 2'!$F$3:$F$55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'Dumbbell 2'!$D$3:$D$55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xVal>
          <c:yVal>
            <c:numRef>
              <c:f>'Dumbbell 2'!$E$3:$E$55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C5-495F-87C0-11774040908B}"/>
            </c:ext>
          </c:extLst>
        </c:ser>
        <c:ser>
          <c:idx val="2"/>
          <c:order val="2"/>
          <c:tx>
            <c:strRef>
              <c:f>'Dumbbell 2'!$C$2</c:f>
              <c:strCache>
                <c:ptCount val="1"/>
                <c:pt idx="0">
                  <c:v>2007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C5-495F-87C0-11774040908B}"/>
                </c:ext>
              </c:extLst>
            </c:dLbl>
            <c:dLbl>
              <c:idx val="18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C5-495F-87C0-11774040908B}"/>
                </c:ext>
              </c:extLst>
            </c:dLbl>
            <c:dLbl>
              <c:idx val="19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C5-495F-87C0-11774040908B}"/>
                </c:ext>
              </c:extLst>
            </c:dLbl>
            <c:dLbl>
              <c:idx val="3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C5-495F-87C0-11774040908B}"/>
                </c:ext>
              </c:extLst>
            </c:dLbl>
            <c:dLbl>
              <c:idx val="43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C5-495F-87C0-11774040908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1"/>
            <c:plus>
              <c:numRef>
                <c:f>'Dumbbell 2'!$F$3:$F$55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plus>
            <c:minus>
              <c:numRef>
                <c:f>'Dumbbell 2'!$G$3:$G$55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'Dumbbell 2'!$C$3:$C$55</c:f>
              <c:numCache>
                <c:formatCode>#,##0.0</c:formatCode>
                <c:ptCount val="53"/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1.2</c:v>
                </c:pt>
                <c:pt idx="7">
                  <c:v>1.1000000000000001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0.9</c:v>
                </c:pt>
                <c:pt idx="12">
                  <c:v>1.3</c:v>
                </c:pt>
                <c:pt idx="13">
                  <c:v>1.3</c:v>
                </c:pt>
                <c:pt idx="14">
                  <c:v>1.4</c:v>
                </c:pt>
                <c:pt idx="15">
                  <c:v>1.1000000000000001</c:v>
                </c:pt>
                <c:pt idx="16">
                  <c:v>1.3</c:v>
                </c:pt>
                <c:pt idx="17">
                  <c:v>1.2</c:v>
                </c:pt>
                <c:pt idx="18">
                  <c:v>1</c:v>
                </c:pt>
                <c:pt idx="19">
                  <c:v>0.8</c:v>
                </c:pt>
                <c:pt idx="20">
                  <c:v>1.3</c:v>
                </c:pt>
                <c:pt idx="21">
                  <c:v>1.2</c:v>
                </c:pt>
                <c:pt idx="22">
                  <c:v>1.4</c:v>
                </c:pt>
                <c:pt idx="23">
                  <c:v>1.2</c:v>
                </c:pt>
                <c:pt idx="24">
                  <c:v>1.7</c:v>
                </c:pt>
                <c:pt idx="25">
                  <c:v>1.2</c:v>
                </c:pt>
                <c:pt idx="26">
                  <c:v>1.2</c:v>
                </c:pt>
                <c:pt idx="27">
                  <c:v>1.6</c:v>
                </c:pt>
                <c:pt idx="28">
                  <c:v>1.4</c:v>
                </c:pt>
                <c:pt idx="29">
                  <c:v>1.3</c:v>
                </c:pt>
                <c:pt idx="30">
                  <c:v>1.1000000000000001</c:v>
                </c:pt>
                <c:pt idx="31">
                  <c:v>1.5</c:v>
                </c:pt>
                <c:pt idx="32">
                  <c:v>1.4</c:v>
                </c:pt>
                <c:pt idx="33">
                  <c:v>1.7</c:v>
                </c:pt>
                <c:pt idx="34">
                  <c:v>1.6</c:v>
                </c:pt>
                <c:pt idx="35">
                  <c:v>1.5</c:v>
                </c:pt>
                <c:pt idx="36">
                  <c:v>1.6</c:v>
                </c:pt>
                <c:pt idx="37">
                  <c:v>1.8</c:v>
                </c:pt>
                <c:pt idx="38">
                  <c:v>1.6</c:v>
                </c:pt>
                <c:pt idx="39">
                  <c:v>1.4</c:v>
                </c:pt>
                <c:pt idx="40">
                  <c:v>1.6</c:v>
                </c:pt>
                <c:pt idx="41">
                  <c:v>1.6</c:v>
                </c:pt>
                <c:pt idx="42">
                  <c:v>1.6</c:v>
                </c:pt>
                <c:pt idx="43">
                  <c:v>1.4</c:v>
                </c:pt>
                <c:pt idx="44">
                  <c:v>2</c:v>
                </c:pt>
                <c:pt idx="45">
                  <c:v>2.5</c:v>
                </c:pt>
                <c:pt idx="46">
                  <c:v>1.7</c:v>
                </c:pt>
                <c:pt idx="47">
                  <c:v>2.2000000000000002</c:v>
                </c:pt>
                <c:pt idx="48">
                  <c:v>1.8</c:v>
                </c:pt>
                <c:pt idx="49">
                  <c:v>2.1</c:v>
                </c:pt>
                <c:pt idx="50">
                  <c:v>2</c:v>
                </c:pt>
                <c:pt idx="51">
                  <c:v>2.1</c:v>
                </c:pt>
              </c:numCache>
            </c:numRef>
          </c:xVal>
          <c:yVal>
            <c:numRef>
              <c:f>'Dumbbell 2'!$E$3:$E$55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C5-495F-87C0-11774040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35088"/>
        <c:axId val="559034760"/>
      </c:scatterChart>
      <c:catAx>
        <c:axId val="395457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8128"/>
        <c:crosses val="autoZero"/>
        <c:auto val="1"/>
        <c:lblAlgn val="ctr"/>
        <c:lblOffset val="100"/>
        <c:tickLblSkip val="1"/>
        <c:noMultiLvlLbl val="0"/>
      </c:catAx>
      <c:valAx>
        <c:axId val="395458128"/>
        <c:scaling>
          <c:orientation val="minMax"/>
          <c:max val="3"/>
          <c:min val="0.2"/>
        </c:scaling>
        <c:delete val="0"/>
        <c:axPos val="b"/>
        <c:numFmt formatCode="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7736"/>
        <c:crosses val="autoZero"/>
        <c:crossBetween val="midCat"/>
        <c:majorUnit val="0.4"/>
      </c:valAx>
      <c:valAx>
        <c:axId val="559034760"/>
        <c:scaling>
          <c:orientation val="minMax"/>
          <c:max val="1"/>
        </c:scaling>
        <c:delete val="1"/>
        <c:axPos val="r"/>
        <c:numFmt formatCode="#,##0.000" sourceLinked="1"/>
        <c:majorTickMark val="out"/>
        <c:minorTickMark val="none"/>
        <c:tickLblPos val="nextTo"/>
        <c:crossAx val="559035088"/>
        <c:crosses val="max"/>
        <c:crossBetween val="midCat"/>
      </c:valAx>
      <c:valAx>
        <c:axId val="559035088"/>
        <c:scaling>
          <c:orientation val="minMax"/>
          <c:min val="0.2"/>
        </c:scaling>
        <c:delete val="0"/>
        <c:axPos val="t"/>
        <c:numFmt formatCode="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59034760"/>
        <c:crosses val="max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'Range Bar'!$D$2</c:f>
              <c:strCache>
                <c:ptCount val="1"/>
                <c:pt idx="0">
                  <c:v>2017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'Range Bar'!$B$3:$B$55</c:f>
              <c:strCache>
                <c:ptCount val="52"/>
                <c:pt idx="1">
                  <c:v>Massachusetts</c:v>
                </c:pt>
                <c:pt idx="2">
                  <c:v>Minnesota</c:v>
                </c:pt>
                <c:pt idx="3">
                  <c:v>New Hampshire</c:v>
                </c:pt>
                <c:pt idx="4">
                  <c:v>New Jersey</c:v>
                </c:pt>
                <c:pt idx="5">
                  <c:v>New York</c:v>
                </c:pt>
                <c:pt idx="6">
                  <c:v>District of Columbia</c:v>
                </c:pt>
                <c:pt idx="7">
                  <c:v>Utah</c:v>
                </c:pt>
                <c:pt idx="8">
                  <c:v>Connecticut</c:v>
                </c:pt>
                <c:pt idx="9">
                  <c:v>Washington</c:v>
                </c:pt>
                <c:pt idx="10">
                  <c:v>Maryland</c:v>
                </c:pt>
                <c:pt idx="11">
                  <c:v>Vermont</c:v>
                </c:pt>
                <c:pt idx="12">
                  <c:v>Wisconsin</c:v>
                </c:pt>
                <c:pt idx="13">
                  <c:v>Virginia</c:v>
                </c:pt>
                <c:pt idx="14">
                  <c:v>Iowa</c:v>
                </c:pt>
                <c:pt idx="15">
                  <c:v>Ohio</c:v>
                </c:pt>
                <c:pt idx="16">
                  <c:v>Hawaii</c:v>
                </c:pt>
                <c:pt idx="17">
                  <c:v>Illinois</c:v>
                </c:pt>
                <c:pt idx="18">
                  <c:v>Michigan</c:v>
                </c:pt>
                <c:pt idx="19">
                  <c:v>Rhode Island</c:v>
                </c:pt>
                <c:pt idx="20">
                  <c:v>Nebraska</c:v>
                </c:pt>
                <c:pt idx="21">
                  <c:v>Indiana</c:v>
                </c:pt>
                <c:pt idx="22">
                  <c:v>Pennsylvania</c:v>
                </c:pt>
                <c:pt idx="23">
                  <c:v>California</c:v>
                </c:pt>
                <c:pt idx="24">
                  <c:v>Nevada</c:v>
                </c:pt>
                <c:pt idx="25">
                  <c:v>Delaware</c:v>
                </c:pt>
                <c:pt idx="26">
                  <c:v>Maine</c:v>
                </c:pt>
                <c:pt idx="27">
                  <c:v>North Carolina</c:v>
                </c:pt>
                <c:pt idx="28">
                  <c:v>North Dakota</c:v>
                </c:pt>
                <c:pt idx="29">
                  <c:v>Oregon</c:v>
                </c:pt>
                <c:pt idx="30">
                  <c:v>Colorado</c:v>
                </c:pt>
                <c:pt idx="31">
                  <c:v>Georgia</c:v>
                </c:pt>
                <c:pt idx="32">
                  <c:v>Missouri</c:v>
                </c:pt>
                <c:pt idx="33">
                  <c:v>Tennessee</c:v>
                </c:pt>
                <c:pt idx="34">
                  <c:v>Wyoming</c:v>
                </c:pt>
                <c:pt idx="35">
                  <c:v>New Mexico</c:v>
                </c:pt>
                <c:pt idx="36">
                  <c:v>Oklahoma</c:v>
                </c:pt>
                <c:pt idx="37">
                  <c:v>Alabama</c:v>
                </c:pt>
                <c:pt idx="38">
                  <c:v>South Dakota</c:v>
                </c:pt>
                <c:pt idx="39">
                  <c:v>Texas</c:v>
                </c:pt>
                <c:pt idx="40">
                  <c:v>Florida</c:v>
                </c:pt>
                <c:pt idx="41">
                  <c:v>Idaho</c:v>
                </c:pt>
                <c:pt idx="42">
                  <c:v>Alaska</c:v>
                </c:pt>
                <c:pt idx="43">
                  <c:v>Kansas</c:v>
                </c:pt>
                <c:pt idx="44">
                  <c:v>Arkansas</c:v>
                </c:pt>
                <c:pt idx="45">
                  <c:v>Montana</c:v>
                </c:pt>
                <c:pt idx="46">
                  <c:v>Arizona</c:v>
                </c:pt>
                <c:pt idx="47">
                  <c:v>Louisiana</c:v>
                </c:pt>
                <c:pt idx="48">
                  <c:v>Kentucky</c:v>
                </c:pt>
                <c:pt idx="49">
                  <c:v>West Virginia</c:v>
                </c:pt>
                <c:pt idx="50">
                  <c:v>Mississippi</c:v>
                </c:pt>
                <c:pt idx="51">
                  <c:v>South Carolina</c:v>
                </c:pt>
              </c:strCache>
            </c:strRef>
          </c:cat>
          <c:val>
            <c:numRef>
              <c:f>'Range Bar'!$D$3:$D$55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6-4371-B97E-9FE611CEF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457736"/>
        <c:axId val="395458128"/>
      </c:barChart>
      <c:scatterChart>
        <c:scatterStyle val="lineMarker"/>
        <c:varyColors val="0"/>
        <c:ser>
          <c:idx val="1"/>
          <c:order val="1"/>
          <c:tx>
            <c:v>Fatality rate 2017</c:v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'Range Bar'!$G$3:$G$55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plus>
            <c:minus>
              <c:numRef>
                <c:f>'Range Bar'!$F$3:$F$55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minus>
            <c:spPr>
              <a:noFill/>
              <a:ln w="762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'Range Bar'!$D$3:$D$55</c:f>
              <c:numCache>
                <c:formatCode>#,##0.0</c:formatCode>
                <c:ptCount val="53"/>
                <c:pt idx="1">
                  <c:v>0.55000000000000004</c:v>
                </c:pt>
                <c:pt idx="2">
                  <c:v>0.6</c:v>
                </c:pt>
                <c:pt idx="3">
                  <c:v>0.75</c:v>
                </c:pt>
                <c:pt idx="4">
                  <c:v>0.81</c:v>
                </c:pt>
                <c:pt idx="5">
                  <c:v>0.81</c:v>
                </c:pt>
                <c:pt idx="6">
                  <c:v>0.83</c:v>
                </c:pt>
                <c:pt idx="7">
                  <c:v>0.87</c:v>
                </c:pt>
                <c:pt idx="8">
                  <c:v>0.89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0.98</c:v>
                </c:pt>
                <c:pt idx="14">
                  <c:v>0.99</c:v>
                </c:pt>
                <c:pt idx="15">
                  <c:v>0.99</c:v>
                </c:pt>
                <c:pt idx="16">
                  <c:v>1</c:v>
                </c:pt>
                <c:pt idx="17">
                  <c:v>1.01</c:v>
                </c:pt>
                <c:pt idx="18">
                  <c:v>1.01</c:v>
                </c:pt>
                <c:pt idx="19">
                  <c:v>1.05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1.1200000000000001</c:v>
                </c:pt>
                <c:pt idx="23">
                  <c:v>1.1299999999999999</c:v>
                </c:pt>
                <c:pt idx="24">
                  <c:v>1.1299999999999999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1.18</c:v>
                </c:pt>
                <c:pt idx="28">
                  <c:v>1.19</c:v>
                </c:pt>
                <c:pt idx="29">
                  <c:v>1.19</c:v>
                </c:pt>
                <c:pt idx="30">
                  <c:v>1.21</c:v>
                </c:pt>
                <c:pt idx="31">
                  <c:v>1.23</c:v>
                </c:pt>
                <c:pt idx="32">
                  <c:v>1.23</c:v>
                </c:pt>
                <c:pt idx="33">
                  <c:v>1.24</c:v>
                </c:pt>
                <c:pt idx="34">
                  <c:v>1.26</c:v>
                </c:pt>
                <c:pt idx="35">
                  <c:v>1.28</c:v>
                </c:pt>
                <c:pt idx="36">
                  <c:v>1.33</c:v>
                </c:pt>
                <c:pt idx="37">
                  <c:v>1.34</c:v>
                </c:pt>
                <c:pt idx="38">
                  <c:v>1.34</c:v>
                </c:pt>
                <c:pt idx="39">
                  <c:v>1.37</c:v>
                </c:pt>
                <c:pt idx="40">
                  <c:v>1.42</c:v>
                </c:pt>
                <c:pt idx="41">
                  <c:v>1.42</c:v>
                </c:pt>
                <c:pt idx="42">
                  <c:v>1.43</c:v>
                </c:pt>
                <c:pt idx="43">
                  <c:v>1.43</c:v>
                </c:pt>
                <c:pt idx="44">
                  <c:v>1.44</c:v>
                </c:pt>
                <c:pt idx="45">
                  <c:v>1.47</c:v>
                </c:pt>
                <c:pt idx="46">
                  <c:v>1.53</c:v>
                </c:pt>
                <c:pt idx="47">
                  <c:v>1.56</c:v>
                </c:pt>
                <c:pt idx="48">
                  <c:v>1.59</c:v>
                </c:pt>
                <c:pt idx="49">
                  <c:v>1.59</c:v>
                </c:pt>
                <c:pt idx="50">
                  <c:v>1.68</c:v>
                </c:pt>
                <c:pt idx="51">
                  <c:v>1.78</c:v>
                </c:pt>
              </c:numCache>
            </c:numRef>
          </c:xVal>
          <c:yVal>
            <c:numRef>
              <c:f>'Range Bar'!$E$3:$E$55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66-4371-B97E-9FE611CEF762}"/>
            </c:ext>
          </c:extLst>
        </c:ser>
        <c:ser>
          <c:idx val="2"/>
          <c:order val="2"/>
          <c:tx>
            <c:strRef>
              <c:f>'Range Bar'!$C$2</c:f>
              <c:strCache>
                <c:ptCount val="1"/>
                <c:pt idx="0">
                  <c:v>2007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errBars>
            <c:errDir val="x"/>
            <c:errBarType val="both"/>
            <c:errValType val="cust"/>
            <c:noEndCap val="1"/>
            <c:plus>
              <c:numRef>
                <c:f>'Range Bar'!$F$3:$F$55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3.0000000000000027E-2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1.0000000000000009E-2</c:v>
                  </c:pt>
                  <c:pt idx="19">
                    <c:v>0.25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0.10999999999999988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3.0000000000000027E-2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</c:numCache>
              </c:numRef>
            </c:plus>
            <c:minus>
              <c:numRef>
                <c:f>'Range Bar'!$G$3:$G$55</c:f>
                <c:numCache>
                  <c:formatCode>General</c:formatCode>
                  <c:ptCount val="53"/>
                  <c:pt idx="0">
                    <c:v>0</c:v>
                  </c:pt>
                  <c:pt idx="1">
                    <c:v>0.25</c:v>
                  </c:pt>
                  <c:pt idx="2">
                    <c:v>0.30000000000000004</c:v>
                  </c:pt>
                  <c:pt idx="3">
                    <c:v>0.25</c:v>
                  </c:pt>
                  <c:pt idx="4">
                    <c:v>0.18999999999999995</c:v>
                  </c:pt>
                  <c:pt idx="5">
                    <c:v>0.18999999999999995</c:v>
                  </c:pt>
                  <c:pt idx="6">
                    <c:v>0.37</c:v>
                  </c:pt>
                  <c:pt idx="7">
                    <c:v>0.23000000000000009</c:v>
                  </c:pt>
                  <c:pt idx="8">
                    <c:v>1.0000000000000009E-2</c:v>
                  </c:pt>
                  <c:pt idx="9">
                    <c:v>7.999999999999996E-2</c:v>
                  </c:pt>
                  <c:pt idx="10">
                    <c:v>0.17000000000000004</c:v>
                  </c:pt>
                  <c:pt idx="11">
                    <c:v>0</c:v>
                  </c:pt>
                  <c:pt idx="12">
                    <c:v>0.3600000000000001</c:v>
                  </c:pt>
                  <c:pt idx="13">
                    <c:v>0.32000000000000006</c:v>
                  </c:pt>
                  <c:pt idx="14">
                    <c:v>0.40999999999999992</c:v>
                  </c:pt>
                  <c:pt idx="15">
                    <c:v>0.1100000000000001</c:v>
                  </c:pt>
                  <c:pt idx="16">
                    <c:v>0.30000000000000004</c:v>
                  </c:pt>
                  <c:pt idx="17">
                    <c:v>0.18999999999999995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0.20999999999999996</c:v>
                  </c:pt>
                  <c:pt idx="21">
                    <c:v>7.9999999999999849E-2</c:v>
                  </c:pt>
                  <c:pt idx="22">
                    <c:v>0.2799999999999998</c:v>
                  </c:pt>
                  <c:pt idx="23">
                    <c:v>7.0000000000000062E-2</c:v>
                  </c:pt>
                  <c:pt idx="24">
                    <c:v>0.57000000000000006</c:v>
                  </c:pt>
                  <c:pt idx="25">
                    <c:v>6.0000000000000053E-2</c:v>
                  </c:pt>
                  <c:pt idx="26">
                    <c:v>3.0000000000000027E-2</c:v>
                  </c:pt>
                  <c:pt idx="27">
                    <c:v>0.42000000000000015</c:v>
                  </c:pt>
                  <c:pt idx="28">
                    <c:v>0.20999999999999996</c:v>
                  </c:pt>
                  <c:pt idx="29">
                    <c:v>0.1100000000000001</c:v>
                  </c:pt>
                  <c:pt idx="30">
                    <c:v>0</c:v>
                  </c:pt>
                  <c:pt idx="31">
                    <c:v>0.27</c:v>
                  </c:pt>
                  <c:pt idx="32">
                    <c:v>0.16999999999999993</c:v>
                  </c:pt>
                  <c:pt idx="33">
                    <c:v>0.45999999999999996</c:v>
                  </c:pt>
                  <c:pt idx="34">
                    <c:v>0.34000000000000008</c:v>
                  </c:pt>
                  <c:pt idx="35">
                    <c:v>0.21999999999999997</c:v>
                  </c:pt>
                  <c:pt idx="36">
                    <c:v>0.27</c:v>
                  </c:pt>
                  <c:pt idx="37">
                    <c:v>0.45999999999999996</c:v>
                  </c:pt>
                  <c:pt idx="38">
                    <c:v>0.26</c:v>
                  </c:pt>
                  <c:pt idx="39">
                    <c:v>2.9999999999999805E-2</c:v>
                  </c:pt>
                  <c:pt idx="40">
                    <c:v>0.18000000000000016</c:v>
                  </c:pt>
                  <c:pt idx="41">
                    <c:v>0.18000000000000016</c:v>
                  </c:pt>
                  <c:pt idx="42">
                    <c:v>0.17000000000000015</c:v>
                  </c:pt>
                  <c:pt idx="43">
                    <c:v>0</c:v>
                  </c:pt>
                  <c:pt idx="44">
                    <c:v>0.56000000000000005</c:v>
                  </c:pt>
                  <c:pt idx="45">
                    <c:v>1.03</c:v>
                  </c:pt>
                  <c:pt idx="46">
                    <c:v>0.16999999999999993</c:v>
                  </c:pt>
                  <c:pt idx="47">
                    <c:v>0.64000000000000012</c:v>
                  </c:pt>
                  <c:pt idx="48">
                    <c:v>0.20999999999999996</c:v>
                  </c:pt>
                  <c:pt idx="49">
                    <c:v>0.51</c:v>
                  </c:pt>
                  <c:pt idx="50">
                    <c:v>0.32000000000000006</c:v>
                  </c:pt>
                  <c:pt idx="51">
                    <c:v>0.32000000000000006</c:v>
                  </c:pt>
                  <c:pt idx="52">
                    <c:v>0</c:v>
                  </c:pt>
                </c:numCache>
              </c:numRef>
            </c:minus>
            <c:spPr>
              <a:noFill/>
              <a:ln w="98425" cap="flat" cmpd="sng" algn="ctr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'Range Bar'!$C$3:$C$55</c:f>
              <c:numCache>
                <c:formatCode>#,##0.0</c:formatCode>
                <c:ptCount val="53"/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1.2</c:v>
                </c:pt>
                <c:pt idx="7">
                  <c:v>1.1000000000000001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0.9</c:v>
                </c:pt>
                <c:pt idx="12">
                  <c:v>1.3</c:v>
                </c:pt>
                <c:pt idx="13">
                  <c:v>1.3</c:v>
                </c:pt>
                <c:pt idx="14">
                  <c:v>1.4</c:v>
                </c:pt>
                <c:pt idx="15">
                  <c:v>1.1000000000000001</c:v>
                </c:pt>
                <c:pt idx="16">
                  <c:v>1.3</c:v>
                </c:pt>
                <c:pt idx="17">
                  <c:v>1.2</c:v>
                </c:pt>
                <c:pt idx="18">
                  <c:v>1</c:v>
                </c:pt>
                <c:pt idx="19">
                  <c:v>0.8</c:v>
                </c:pt>
                <c:pt idx="20">
                  <c:v>1.3</c:v>
                </c:pt>
                <c:pt idx="21">
                  <c:v>1.2</c:v>
                </c:pt>
                <c:pt idx="22">
                  <c:v>1.4</c:v>
                </c:pt>
                <c:pt idx="23">
                  <c:v>1.2</c:v>
                </c:pt>
                <c:pt idx="24">
                  <c:v>1.7</c:v>
                </c:pt>
                <c:pt idx="25">
                  <c:v>1.2</c:v>
                </c:pt>
                <c:pt idx="26">
                  <c:v>1.2</c:v>
                </c:pt>
                <c:pt idx="27">
                  <c:v>1.6</c:v>
                </c:pt>
                <c:pt idx="28">
                  <c:v>1.4</c:v>
                </c:pt>
                <c:pt idx="29">
                  <c:v>1.3</c:v>
                </c:pt>
                <c:pt idx="30">
                  <c:v>1.1000000000000001</c:v>
                </c:pt>
                <c:pt idx="31">
                  <c:v>1.5</c:v>
                </c:pt>
                <c:pt idx="32">
                  <c:v>1.4</c:v>
                </c:pt>
                <c:pt idx="33">
                  <c:v>1.7</c:v>
                </c:pt>
                <c:pt idx="34">
                  <c:v>1.6</c:v>
                </c:pt>
                <c:pt idx="35">
                  <c:v>1.5</c:v>
                </c:pt>
                <c:pt idx="36">
                  <c:v>1.6</c:v>
                </c:pt>
                <c:pt idx="37">
                  <c:v>1.8</c:v>
                </c:pt>
                <c:pt idx="38">
                  <c:v>1.6</c:v>
                </c:pt>
                <c:pt idx="39">
                  <c:v>1.4</c:v>
                </c:pt>
                <c:pt idx="40">
                  <c:v>1.6</c:v>
                </c:pt>
                <c:pt idx="41">
                  <c:v>1.6</c:v>
                </c:pt>
                <c:pt idx="42">
                  <c:v>1.6</c:v>
                </c:pt>
                <c:pt idx="43">
                  <c:v>1.4</c:v>
                </c:pt>
                <c:pt idx="44">
                  <c:v>2</c:v>
                </c:pt>
                <c:pt idx="45">
                  <c:v>2.5</c:v>
                </c:pt>
                <c:pt idx="46">
                  <c:v>1.7</c:v>
                </c:pt>
                <c:pt idx="47">
                  <c:v>2.2000000000000002</c:v>
                </c:pt>
                <c:pt idx="48">
                  <c:v>1.8</c:v>
                </c:pt>
                <c:pt idx="49">
                  <c:v>2.1</c:v>
                </c:pt>
                <c:pt idx="50">
                  <c:v>2</c:v>
                </c:pt>
                <c:pt idx="51">
                  <c:v>2.1</c:v>
                </c:pt>
              </c:numCache>
            </c:numRef>
          </c:xVal>
          <c:yVal>
            <c:numRef>
              <c:f>'Range Bar'!$E$3:$E$55</c:f>
              <c:numCache>
                <c:formatCode>#,##0.000</c:formatCode>
                <c:ptCount val="53"/>
                <c:pt idx="0">
                  <c:v>0</c:v>
                </c:pt>
                <c:pt idx="1">
                  <c:v>1.9230769230769273E-2</c:v>
                </c:pt>
                <c:pt idx="2">
                  <c:v>3.8461538461538436E-2</c:v>
                </c:pt>
                <c:pt idx="3">
                  <c:v>5.7692307692307709E-2</c:v>
                </c:pt>
                <c:pt idx="4">
                  <c:v>7.6923076923076872E-2</c:v>
                </c:pt>
                <c:pt idx="5">
                  <c:v>9.6153846153846145E-2</c:v>
                </c:pt>
                <c:pt idx="6">
                  <c:v>0.11538461538461542</c:v>
                </c:pt>
                <c:pt idx="7">
                  <c:v>0.13461538461538458</c:v>
                </c:pt>
                <c:pt idx="8">
                  <c:v>0.15384615384615385</c:v>
                </c:pt>
                <c:pt idx="9">
                  <c:v>0.17307692307692313</c:v>
                </c:pt>
                <c:pt idx="10">
                  <c:v>0.19230769230769229</c:v>
                </c:pt>
                <c:pt idx="11">
                  <c:v>0.21153846153846156</c:v>
                </c:pt>
                <c:pt idx="12">
                  <c:v>0.23076923076923073</c:v>
                </c:pt>
                <c:pt idx="13">
                  <c:v>0.25</c:v>
                </c:pt>
                <c:pt idx="14">
                  <c:v>0.26923076923076927</c:v>
                </c:pt>
                <c:pt idx="15">
                  <c:v>0.28846153846153844</c:v>
                </c:pt>
                <c:pt idx="16">
                  <c:v>0.30769230769230771</c:v>
                </c:pt>
                <c:pt idx="17">
                  <c:v>0.32692307692307687</c:v>
                </c:pt>
                <c:pt idx="18">
                  <c:v>0.34615384615384615</c:v>
                </c:pt>
                <c:pt idx="19">
                  <c:v>0.36538461538461542</c:v>
                </c:pt>
                <c:pt idx="20">
                  <c:v>0.38461538461538458</c:v>
                </c:pt>
                <c:pt idx="21">
                  <c:v>0.40384615384615385</c:v>
                </c:pt>
                <c:pt idx="22">
                  <c:v>0.42307692307692313</c:v>
                </c:pt>
                <c:pt idx="23">
                  <c:v>0.44230769230769229</c:v>
                </c:pt>
                <c:pt idx="24">
                  <c:v>0.46153846153846156</c:v>
                </c:pt>
                <c:pt idx="25">
                  <c:v>0.48076923076923073</c:v>
                </c:pt>
                <c:pt idx="26">
                  <c:v>0.5</c:v>
                </c:pt>
                <c:pt idx="27">
                  <c:v>0.51923076923076916</c:v>
                </c:pt>
                <c:pt idx="28">
                  <c:v>0.53846153846153844</c:v>
                </c:pt>
                <c:pt idx="29">
                  <c:v>0.55769230769230771</c:v>
                </c:pt>
                <c:pt idx="30">
                  <c:v>0.57692307692307687</c:v>
                </c:pt>
                <c:pt idx="31">
                  <c:v>0.59615384615384615</c:v>
                </c:pt>
                <c:pt idx="32">
                  <c:v>0.61538461538461542</c:v>
                </c:pt>
                <c:pt idx="33">
                  <c:v>0.63461538461538458</c:v>
                </c:pt>
                <c:pt idx="34">
                  <c:v>0.65384615384615385</c:v>
                </c:pt>
                <c:pt idx="35">
                  <c:v>0.67307692307692313</c:v>
                </c:pt>
                <c:pt idx="36">
                  <c:v>0.69230769230769229</c:v>
                </c:pt>
                <c:pt idx="37">
                  <c:v>0.71153846153846156</c:v>
                </c:pt>
                <c:pt idx="38">
                  <c:v>0.73076923076923084</c:v>
                </c:pt>
                <c:pt idx="39">
                  <c:v>0.75</c:v>
                </c:pt>
                <c:pt idx="40">
                  <c:v>0.76923076923076916</c:v>
                </c:pt>
                <c:pt idx="41">
                  <c:v>0.78846153846153844</c:v>
                </c:pt>
                <c:pt idx="42">
                  <c:v>0.80769230769230771</c:v>
                </c:pt>
                <c:pt idx="43">
                  <c:v>0.82692307692307687</c:v>
                </c:pt>
                <c:pt idx="44">
                  <c:v>0.84615384615384615</c:v>
                </c:pt>
                <c:pt idx="45">
                  <c:v>0.86538461538461542</c:v>
                </c:pt>
                <c:pt idx="46">
                  <c:v>0.88461538461538458</c:v>
                </c:pt>
                <c:pt idx="47">
                  <c:v>0.90384615384615385</c:v>
                </c:pt>
                <c:pt idx="48">
                  <c:v>0.92307692307692313</c:v>
                </c:pt>
                <c:pt idx="49">
                  <c:v>0.94230769230769229</c:v>
                </c:pt>
                <c:pt idx="50">
                  <c:v>0.96153846153846156</c:v>
                </c:pt>
                <c:pt idx="51">
                  <c:v>0.98076923076923073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66-4371-B97E-9FE611CEF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35088"/>
        <c:axId val="559034760"/>
      </c:scatterChart>
      <c:catAx>
        <c:axId val="39545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8128"/>
        <c:crosses val="autoZero"/>
        <c:auto val="1"/>
        <c:lblAlgn val="ctr"/>
        <c:lblOffset val="100"/>
        <c:tickLblSkip val="1"/>
        <c:noMultiLvlLbl val="0"/>
      </c:catAx>
      <c:valAx>
        <c:axId val="395458128"/>
        <c:scaling>
          <c:orientation val="minMax"/>
          <c:max val="2.6"/>
          <c:min val="0.5"/>
        </c:scaling>
        <c:delete val="0"/>
        <c:axPos val="b"/>
        <c:numFmt formatCode="#,##0.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95457736"/>
        <c:crosses val="autoZero"/>
        <c:crossBetween val="midCat"/>
        <c:majorUnit val="0.30000000000000004"/>
      </c:valAx>
      <c:valAx>
        <c:axId val="559034760"/>
        <c:scaling>
          <c:orientation val="minMax"/>
          <c:max val="1"/>
        </c:scaling>
        <c:delete val="1"/>
        <c:axPos val="r"/>
        <c:numFmt formatCode="#,##0.000" sourceLinked="1"/>
        <c:majorTickMark val="out"/>
        <c:minorTickMark val="none"/>
        <c:tickLblPos val="nextTo"/>
        <c:crossAx val="559035088"/>
        <c:crosses val="max"/>
        <c:crossBetween val="midCat"/>
      </c:valAx>
      <c:valAx>
        <c:axId val="559035088"/>
        <c:scaling>
          <c:orientation val="minMax"/>
          <c:min val="0.5"/>
        </c:scaling>
        <c:delete val="0"/>
        <c:axPos val="t"/>
        <c:numFmt formatCode="#,##0.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59034760"/>
        <c:crosses val="max"/>
        <c:crossBetween val="midCat"/>
        <c:majorUnit val="0.30000000000000004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xct.com/" TargetMode="External"/><Relationship Id="rId2" Type="http://schemas.openxmlformats.org/officeDocument/2006/relationships/hyperlink" Target="https://simplexct.com/how-to-create-a-dumbbell-chart-in-excel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xct.com/" TargetMode="External"/><Relationship Id="rId2" Type="http://schemas.openxmlformats.org/officeDocument/2006/relationships/hyperlink" Target="https://simplexct.com/how-to-create-a-dumbbell-chart-in-excel" TargetMode="Externa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xct.com/" TargetMode="External"/><Relationship Id="rId2" Type="http://schemas.openxmlformats.org/officeDocument/2006/relationships/hyperlink" Target="https://simplexct.com/how-to-create-a-dumbbell-chart-in-excel" TargetMode="Externa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584216</xdr:colOff>
      <xdr:row>1</xdr:row>
      <xdr:rowOff>152674</xdr:rowOff>
    </xdr:from>
    <xdr:to>
      <xdr:col>16</xdr:col>
      <xdr:colOff>431816</xdr:colOff>
      <xdr:row>42</xdr:row>
      <xdr:rowOff>139339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183D7-CC77-43D1-AFF1-FF9C530E9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647698</xdr:colOff>
      <xdr:row>1</xdr:row>
      <xdr:rowOff>0</xdr:rowOff>
    </xdr:from>
    <xdr:to>
      <xdr:col>23</xdr:col>
      <xdr:colOff>614361</xdr:colOff>
      <xdr:row>6</xdr:row>
      <xdr:rowOff>63818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0DB291-3C01-45A7-B2BA-161CD3A50A1B}"/>
            </a:ext>
          </a:extLst>
        </xdr:cNvPr>
        <xdr:cNvSpPr txBox="1"/>
      </xdr:nvSpPr>
      <xdr:spPr>
        <a:xfrm>
          <a:off x="12215811" y="195263"/>
          <a:ext cx="4500563" cy="968693"/>
        </a:xfrm>
        <a:prstGeom prst="rect">
          <a:avLst/>
        </a:prstGeom>
        <a:solidFill>
          <a:srgbClr val="FFFFE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800" b="1">
              <a:latin typeface="Trebuchet MS" panose="020B0603020202020204" pitchFamily="34" charset="0"/>
            </a:rPr>
            <a:t>How to create a Dumbbell</a:t>
          </a:r>
          <a:r>
            <a:rPr lang="en-US" sz="1800" b="1" baseline="0">
              <a:latin typeface="Trebuchet MS" panose="020B0603020202020204" pitchFamily="34" charset="0"/>
            </a:rPr>
            <a:t> Chart</a:t>
          </a:r>
          <a:r>
            <a:rPr lang="en-US" sz="1800" b="1">
              <a:latin typeface="Trebuchet MS" panose="020B0603020202020204" pitchFamily="34" charset="0"/>
            </a:rPr>
            <a:t> in Excel</a:t>
          </a:r>
        </a:p>
      </xdr:txBody>
    </xdr:sp>
    <xdr:clientData/>
  </xdr:twoCellAnchor>
  <xdr:twoCellAnchor editAs="absolute">
    <xdr:from>
      <xdr:col>17</xdr:col>
      <xdr:colOff>85723</xdr:colOff>
      <xdr:row>4</xdr:row>
      <xdr:rowOff>54439</xdr:rowOff>
    </xdr:from>
    <xdr:to>
      <xdr:col>20</xdr:col>
      <xdr:colOff>360043</xdr:colOff>
      <xdr:row>5</xdr:row>
      <xdr:rowOff>111163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872CAB-347D-45EC-BF8B-18152895EE62}"/>
            </a:ext>
          </a:extLst>
        </xdr:cNvPr>
        <xdr:cNvSpPr txBox="1"/>
      </xdr:nvSpPr>
      <xdr:spPr>
        <a:xfrm>
          <a:off x="12301536" y="792627"/>
          <a:ext cx="2217420" cy="237699"/>
        </a:xfrm>
        <a:prstGeom prst="rect">
          <a:avLst/>
        </a:prstGeo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>
              <a:solidFill>
                <a:srgbClr val="E36F6B"/>
              </a:solidFill>
              <a:latin typeface="Trebuchet MS" panose="020B0603020202020204" pitchFamily="34" charset="0"/>
            </a:rPr>
            <a:t>Click here to read tutorial</a:t>
          </a:r>
        </a:p>
      </xdr:txBody>
    </xdr:sp>
    <xdr:clientData/>
  </xdr:twoCellAnchor>
  <xdr:oneCellAnchor>
    <xdr:from>
      <xdr:col>21</xdr:col>
      <xdr:colOff>109547</xdr:colOff>
      <xdr:row>4</xdr:row>
      <xdr:rowOff>3180</xdr:rowOff>
    </xdr:from>
    <xdr:ext cx="1124347" cy="294953"/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1EC785-8361-4447-938C-99B2FD9E60F6}"/>
            </a:ext>
          </a:extLst>
        </xdr:cNvPr>
        <xdr:cNvSpPr txBox="1"/>
      </xdr:nvSpPr>
      <xdr:spPr>
        <a:xfrm>
          <a:off x="14916160" y="741368"/>
          <a:ext cx="1124347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0" tIns="0" rIns="0" bIns="0" rtlCol="0" anchor="t">
          <a:spAutoFit/>
        </a:bodyPr>
        <a:lstStyle/>
        <a:p>
          <a:r>
            <a:rPr lang="en-US" sz="1800" b="0" i="0">
              <a:solidFill>
                <a:srgbClr val="E36F6B"/>
              </a:solidFill>
              <a:latin typeface="Futura Condensed Medium" panose="020B0602020204020303" pitchFamily="34" charset="-79"/>
              <a:cs typeface="Futura Condensed Medium" panose="020B0602020204020303" pitchFamily="34" charset="-79"/>
            </a:rPr>
            <a:t>simplex</a:t>
          </a:r>
          <a:r>
            <a:rPr lang="en-US" sz="2000" b="0" i="0">
              <a:solidFill>
                <a:srgbClr val="E36F6B"/>
              </a:solidFill>
              <a:latin typeface="Gill Sans Light" panose="020B0302020104020203" pitchFamily="34" charset="-79"/>
              <a:cs typeface="Gill Sans Light" panose="020B0302020104020203" pitchFamily="34" charset="-79"/>
            </a:rPr>
            <a:t>CT</a:t>
          </a:r>
          <a:endParaRPr lang="en-US" sz="2400" b="0" i="0">
            <a:solidFill>
              <a:srgbClr val="E36F6B"/>
            </a:solidFill>
            <a:latin typeface="Gill Sans Light" panose="020B0302020104020203" pitchFamily="34" charset="-79"/>
            <a:cs typeface="Gill Sans Light" panose="020B0302020104020203" pitchFamily="34" charset="-79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584216</xdr:colOff>
      <xdr:row>1</xdr:row>
      <xdr:rowOff>152674</xdr:rowOff>
    </xdr:from>
    <xdr:to>
      <xdr:col>16</xdr:col>
      <xdr:colOff>431816</xdr:colOff>
      <xdr:row>42</xdr:row>
      <xdr:rowOff>139339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091AC-F59F-4C0A-A4EB-398F0147A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17</xdr:col>
      <xdr:colOff>0</xdr:colOff>
      <xdr:row>1</xdr:row>
      <xdr:rowOff>0</xdr:rowOff>
    </xdr:from>
    <xdr:to>
      <xdr:col>23</xdr:col>
      <xdr:colOff>614363</xdr:colOff>
      <xdr:row>6</xdr:row>
      <xdr:rowOff>63818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C55764-535F-40E6-98F0-DDBC3F4A338C}"/>
            </a:ext>
          </a:extLst>
        </xdr:cNvPr>
        <xdr:cNvSpPr txBox="1"/>
      </xdr:nvSpPr>
      <xdr:spPr>
        <a:xfrm>
          <a:off x="12215813" y="195263"/>
          <a:ext cx="4500563" cy="968693"/>
        </a:xfrm>
        <a:prstGeom prst="rect">
          <a:avLst/>
        </a:prstGeom>
        <a:solidFill>
          <a:srgbClr val="FFFFE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800" b="1">
              <a:latin typeface="Trebuchet MS" panose="020B0603020202020204" pitchFamily="34" charset="0"/>
            </a:rPr>
            <a:t>How to create a Dumbbell</a:t>
          </a:r>
          <a:r>
            <a:rPr lang="en-US" sz="1800" b="1" baseline="0">
              <a:latin typeface="Trebuchet MS" panose="020B0603020202020204" pitchFamily="34" charset="0"/>
            </a:rPr>
            <a:t> Chart</a:t>
          </a:r>
          <a:r>
            <a:rPr lang="en-US" sz="1800" b="1">
              <a:latin typeface="Trebuchet MS" panose="020B0603020202020204" pitchFamily="34" charset="0"/>
            </a:rPr>
            <a:t> in Excel</a:t>
          </a:r>
        </a:p>
      </xdr:txBody>
    </xdr:sp>
    <xdr:clientData/>
  </xdr:twoCellAnchor>
  <xdr:twoCellAnchor editAs="absolute">
    <xdr:from>
      <xdr:col>17</xdr:col>
      <xdr:colOff>85725</xdr:colOff>
      <xdr:row>4</xdr:row>
      <xdr:rowOff>54439</xdr:rowOff>
    </xdr:from>
    <xdr:to>
      <xdr:col>20</xdr:col>
      <xdr:colOff>360045</xdr:colOff>
      <xdr:row>5</xdr:row>
      <xdr:rowOff>111163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AACEC7-1BF6-4542-915F-B4D33BF894D7}"/>
            </a:ext>
          </a:extLst>
        </xdr:cNvPr>
        <xdr:cNvSpPr txBox="1"/>
      </xdr:nvSpPr>
      <xdr:spPr>
        <a:xfrm>
          <a:off x="12301538" y="792627"/>
          <a:ext cx="2217420" cy="237699"/>
        </a:xfrm>
        <a:prstGeom prst="rect">
          <a:avLst/>
        </a:prstGeo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>
              <a:solidFill>
                <a:srgbClr val="E36F6B"/>
              </a:solidFill>
              <a:latin typeface="Trebuchet MS" panose="020B0603020202020204" pitchFamily="34" charset="0"/>
            </a:rPr>
            <a:t>Click here to read tutorial</a:t>
          </a:r>
        </a:p>
      </xdr:txBody>
    </xdr:sp>
    <xdr:clientData/>
  </xdr:twoCellAnchor>
  <xdr:oneCellAnchor>
    <xdr:from>
      <xdr:col>21</xdr:col>
      <xdr:colOff>109549</xdr:colOff>
      <xdr:row>4</xdr:row>
      <xdr:rowOff>3180</xdr:rowOff>
    </xdr:from>
    <xdr:ext cx="1124347" cy="294953"/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0D97AC-61C8-4456-8AA2-BE0B492C8094}"/>
            </a:ext>
          </a:extLst>
        </xdr:cNvPr>
        <xdr:cNvSpPr txBox="1"/>
      </xdr:nvSpPr>
      <xdr:spPr>
        <a:xfrm>
          <a:off x="14916162" y="741368"/>
          <a:ext cx="1124347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0" tIns="0" rIns="0" bIns="0" rtlCol="0" anchor="t">
          <a:spAutoFit/>
        </a:bodyPr>
        <a:lstStyle/>
        <a:p>
          <a:r>
            <a:rPr lang="en-US" sz="1800" b="0" i="0">
              <a:solidFill>
                <a:srgbClr val="E36F6B"/>
              </a:solidFill>
              <a:latin typeface="Futura Condensed Medium" panose="020B0602020204020303" pitchFamily="34" charset="-79"/>
              <a:cs typeface="Futura Condensed Medium" panose="020B0602020204020303" pitchFamily="34" charset="-79"/>
            </a:rPr>
            <a:t>simplex</a:t>
          </a:r>
          <a:r>
            <a:rPr lang="en-US" sz="2000" b="0" i="0">
              <a:solidFill>
                <a:srgbClr val="E36F6B"/>
              </a:solidFill>
              <a:latin typeface="Gill Sans Light" panose="020B0302020104020203" pitchFamily="34" charset="-79"/>
              <a:cs typeface="Gill Sans Light" panose="020B0302020104020203" pitchFamily="34" charset="-79"/>
            </a:rPr>
            <a:t>CT</a:t>
          </a:r>
          <a:endParaRPr lang="en-US" sz="2400" b="0" i="0">
            <a:solidFill>
              <a:srgbClr val="E36F6B"/>
            </a:solidFill>
            <a:latin typeface="Gill Sans Light" panose="020B0302020104020203" pitchFamily="34" charset="-79"/>
            <a:cs typeface="Gill Sans Light" panose="020B0302020104020203" pitchFamily="34" charset="-79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584216</xdr:colOff>
      <xdr:row>1</xdr:row>
      <xdr:rowOff>152674</xdr:rowOff>
    </xdr:from>
    <xdr:to>
      <xdr:col>16</xdr:col>
      <xdr:colOff>431816</xdr:colOff>
      <xdr:row>42</xdr:row>
      <xdr:rowOff>139339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D4A90-DBCE-4CC0-8997-D9FFBBC5D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104775</xdr:colOff>
      <xdr:row>10</xdr:row>
      <xdr:rowOff>9525</xdr:rowOff>
    </xdr:from>
    <xdr:to>
      <xdr:col>17</xdr:col>
      <xdr:colOff>104775</xdr:colOff>
      <xdr:row>10</xdr:row>
      <xdr:rowOff>119253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A2FCD9-6914-4868-8A62-0B9372CC2444}"/>
            </a:ext>
          </a:extLst>
        </xdr:cNvPr>
        <xdr:cNvCxnSpPr/>
      </xdr:nvCxnSpPr>
      <xdr:spPr>
        <a:xfrm>
          <a:off x="12320588" y="1833563"/>
          <a:ext cx="0" cy="109728"/>
        </a:xfrm>
        <a:prstGeom prst="line">
          <a:avLst/>
        </a:prstGeom>
        <a:ln w="158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0</xdr:colOff>
      <xdr:row>1</xdr:row>
      <xdr:rowOff>0</xdr:rowOff>
    </xdr:from>
    <xdr:to>
      <xdr:col>23</xdr:col>
      <xdr:colOff>614363</xdr:colOff>
      <xdr:row>6</xdr:row>
      <xdr:rowOff>63818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2A44D5-1F53-464B-B179-AEC33FDE492E}"/>
            </a:ext>
          </a:extLst>
        </xdr:cNvPr>
        <xdr:cNvSpPr txBox="1"/>
      </xdr:nvSpPr>
      <xdr:spPr>
        <a:xfrm>
          <a:off x="12215813" y="195263"/>
          <a:ext cx="4500563" cy="968693"/>
        </a:xfrm>
        <a:prstGeom prst="rect">
          <a:avLst/>
        </a:prstGeom>
        <a:solidFill>
          <a:srgbClr val="FFFFE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800" b="1">
              <a:latin typeface="Trebuchet MS" panose="020B0603020202020204" pitchFamily="34" charset="0"/>
            </a:rPr>
            <a:t>How to create a Dumbbell</a:t>
          </a:r>
          <a:r>
            <a:rPr lang="en-US" sz="1800" b="1" baseline="0">
              <a:latin typeface="Trebuchet MS" panose="020B0603020202020204" pitchFamily="34" charset="0"/>
            </a:rPr>
            <a:t> Chart</a:t>
          </a:r>
          <a:r>
            <a:rPr lang="en-US" sz="1800" b="1">
              <a:latin typeface="Trebuchet MS" panose="020B0603020202020204" pitchFamily="34" charset="0"/>
            </a:rPr>
            <a:t> in Excel</a:t>
          </a:r>
        </a:p>
      </xdr:txBody>
    </xdr:sp>
    <xdr:clientData/>
  </xdr:twoCellAnchor>
  <xdr:twoCellAnchor editAs="absolute">
    <xdr:from>
      <xdr:col>17</xdr:col>
      <xdr:colOff>85725</xdr:colOff>
      <xdr:row>4</xdr:row>
      <xdr:rowOff>54439</xdr:rowOff>
    </xdr:from>
    <xdr:to>
      <xdr:col>20</xdr:col>
      <xdr:colOff>360045</xdr:colOff>
      <xdr:row>5</xdr:row>
      <xdr:rowOff>111163</xdr:rowOff>
    </xdr:to>
    <xdr:sp macro="" textlink="">
      <xdr:nvSpPr>
        <xdr:cNvPr id="6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E60545-EA63-4F02-80AF-141E8638A275}"/>
            </a:ext>
          </a:extLst>
        </xdr:cNvPr>
        <xdr:cNvSpPr txBox="1"/>
      </xdr:nvSpPr>
      <xdr:spPr>
        <a:xfrm>
          <a:off x="12301538" y="792627"/>
          <a:ext cx="2217420" cy="237699"/>
        </a:xfrm>
        <a:prstGeom prst="rect">
          <a:avLst/>
        </a:prstGeo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>
              <a:solidFill>
                <a:srgbClr val="E36F6B"/>
              </a:solidFill>
              <a:latin typeface="Trebuchet MS" panose="020B0603020202020204" pitchFamily="34" charset="0"/>
            </a:rPr>
            <a:t>Click here to read tutorial</a:t>
          </a:r>
        </a:p>
      </xdr:txBody>
    </xdr:sp>
    <xdr:clientData/>
  </xdr:twoCellAnchor>
  <xdr:oneCellAnchor>
    <xdr:from>
      <xdr:col>21</xdr:col>
      <xdr:colOff>109549</xdr:colOff>
      <xdr:row>4</xdr:row>
      <xdr:rowOff>3180</xdr:rowOff>
    </xdr:from>
    <xdr:ext cx="1124347" cy="294953"/>
    <xdr:sp macro="" textlink="">
      <xdr:nvSpPr>
        <xdr:cNvPr id="7" name="TextBox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0D69F9-12E0-4F03-93D6-6977C1D6464D}"/>
            </a:ext>
          </a:extLst>
        </xdr:cNvPr>
        <xdr:cNvSpPr txBox="1"/>
      </xdr:nvSpPr>
      <xdr:spPr>
        <a:xfrm>
          <a:off x="14916162" y="741368"/>
          <a:ext cx="1124347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0" tIns="0" rIns="0" bIns="0" rtlCol="0" anchor="t">
          <a:spAutoFit/>
        </a:bodyPr>
        <a:lstStyle/>
        <a:p>
          <a:r>
            <a:rPr lang="en-US" sz="1800" b="0" i="0">
              <a:solidFill>
                <a:srgbClr val="E36F6B"/>
              </a:solidFill>
              <a:latin typeface="Futura Condensed Medium" panose="020B0602020204020303" pitchFamily="34" charset="-79"/>
              <a:cs typeface="Futura Condensed Medium" panose="020B0602020204020303" pitchFamily="34" charset="-79"/>
            </a:rPr>
            <a:t>simplex</a:t>
          </a:r>
          <a:r>
            <a:rPr lang="en-US" sz="2000" b="0" i="0">
              <a:solidFill>
                <a:srgbClr val="E36F6B"/>
              </a:solidFill>
              <a:latin typeface="Gill Sans Light" panose="020B0302020104020203" pitchFamily="34" charset="-79"/>
              <a:cs typeface="Gill Sans Light" panose="020B0302020104020203" pitchFamily="34" charset="-79"/>
            </a:rPr>
            <a:t>CT</a:t>
          </a:r>
          <a:endParaRPr lang="en-US" sz="2400" b="0" i="0">
            <a:solidFill>
              <a:srgbClr val="E36F6B"/>
            </a:solidFill>
            <a:latin typeface="Gill Sans Light" panose="020B0302020104020203" pitchFamily="34" charset="-79"/>
            <a:cs typeface="Gill Sans Light" panose="020B0302020104020203" pitchFamily="34" charset="-79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FBCF-20F9-4681-BD2C-BEDBAE1EDC9A}">
  <dimension ref="B1:J56"/>
  <sheetViews>
    <sheetView showGridLines="0" tabSelected="1" topLeftCell="E1" zoomScaleNormal="100" workbookViewId="0">
      <selection activeCell="I1" sqref="I1"/>
    </sheetView>
  </sheetViews>
  <sheetFormatPr defaultRowHeight="14.25" x14ac:dyDescent="0.45"/>
  <cols>
    <col min="1" max="1" width="2.265625" customWidth="1"/>
    <col min="2" max="2" width="29.9296875" customWidth="1"/>
    <col min="3" max="4" width="10.265625" customWidth="1"/>
    <col min="5" max="5" width="8.06640625" customWidth="1"/>
    <col min="6" max="7" width="10.265625" customWidth="1"/>
    <col min="8" max="8" width="8.06640625" customWidth="1"/>
  </cols>
  <sheetData>
    <row r="1" spans="2:10" ht="15.4" x14ac:dyDescent="0.45">
      <c r="B1" s="2" t="s">
        <v>55</v>
      </c>
      <c r="C1" s="1"/>
      <c r="D1" s="1"/>
      <c r="E1" s="1"/>
      <c r="F1" s="1"/>
      <c r="G1" s="1"/>
      <c r="H1" s="18"/>
      <c r="J1" s="15" t="s">
        <v>54</v>
      </c>
    </row>
    <row r="2" spans="2:10" x14ac:dyDescent="0.45">
      <c r="B2" s="2" t="s">
        <v>1</v>
      </c>
      <c r="C2" s="6">
        <v>2007</v>
      </c>
      <c r="D2" s="6">
        <v>2017</v>
      </c>
      <c r="E2" s="6" t="s">
        <v>0</v>
      </c>
      <c r="F2" s="6" t="s">
        <v>57</v>
      </c>
      <c r="G2" s="21" t="s">
        <v>58</v>
      </c>
      <c r="H2" s="19"/>
      <c r="J2" s="16" t="s">
        <v>56</v>
      </c>
    </row>
    <row r="3" spans="2:10" x14ac:dyDescent="0.45">
      <c r="B3" s="3"/>
      <c r="C3" s="7"/>
      <c r="D3" s="7"/>
      <c r="E3" s="12">
        <f xml:space="preserve"> 1 - (ROWS($B$3:$B$55) - ROW() + ROW($B$2)) / (ROWS($B$3:$B$55) - 1)</f>
        <v>0</v>
      </c>
      <c r="F3" s="7">
        <f xml:space="preserve"> IF((D3 - C3) &gt;  0,(D3 - C3),0)</f>
        <v>0</v>
      </c>
      <c r="G3" s="7">
        <f xml:space="preserve"> IF((D3 - C3) &lt;  0,-(D3 - C3),0)</f>
        <v>0</v>
      </c>
      <c r="H3" s="20"/>
    </row>
    <row r="4" spans="2:10" x14ac:dyDescent="0.45">
      <c r="B4" s="4" t="s">
        <v>34</v>
      </c>
      <c r="C4" s="8">
        <v>0.8</v>
      </c>
      <c r="D4" s="8">
        <v>0.55000000000000004</v>
      </c>
      <c r="E4" s="13">
        <f t="shared" ref="E4:E55" si="0" xml:space="preserve"> 1 - (ROWS($B$3:$B$55) - ROW() + ROW($B$2)) / (ROWS($B$3:$B$55) - 1)</f>
        <v>1.9230769230769273E-2</v>
      </c>
      <c r="F4" s="8">
        <f t="shared" ref="F4:F55" si="1" xml:space="preserve"> IF((D4 - C4) &gt;  0,(D4 - C4),0)</f>
        <v>0</v>
      </c>
      <c r="G4" s="8">
        <f t="shared" ref="G4:G55" si="2" xml:space="preserve"> IF((D4 - C4) &lt;  0,-(D4 - C4),0)</f>
        <v>0.25</v>
      </c>
      <c r="H4" s="20"/>
    </row>
    <row r="5" spans="2:10" x14ac:dyDescent="0.45">
      <c r="B5" s="4" t="s">
        <v>30</v>
      </c>
      <c r="C5" s="8">
        <v>0.9</v>
      </c>
      <c r="D5" s="8">
        <v>0.6</v>
      </c>
      <c r="E5" s="13">
        <f t="shared" si="0"/>
        <v>3.8461538461538436E-2</v>
      </c>
      <c r="F5" s="8">
        <f t="shared" si="1"/>
        <v>0</v>
      </c>
      <c r="G5" s="8">
        <f t="shared" si="2"/>
        <v>0.30000000000000004</v>
      </c>
      <c r="H5" s="20"/>
    </row>
    <row r="6" spans="2:10" x14ac:dyDescent="0.45">
      <c r="B6" s="4" t="s">
        <v>47</v>
      </c>
      <c r="C6" s="8">
        <v>1</v>
      </c>
      <c r="D6" s="8">
        <v>0.75</v>
      </c>
      <c r="E6" s="13">
        <f t="shared" si="0"/>
        <v>5.7692307692307709E-2</v>
      </c>
      <c r="F6" s="8">
        <f t="shared" si="1"/>
        <v>0</v>
      </c>
      <c r="G6" s="8">
        <f t="shared" si="2"/>
        <v>0.25</v>
      </c>
      <c r="H6" s="20"/>
    </row>
    <row r="7" spans="2:10" x14ac:dyDescent="0.45">
      <c r="B7" s="4" t="s">
        <v>25</v>
      </c>
      <c r="C7" s="8">
        <v>1</v>
      </c>
      <c r="D7" s="8">
        <v>0.81</v>
      </c>
      <c r="E7" s="13">
        <f t="shared" si="0"/>
        <v>7.6923076923076872E-2</v>
      </c>
      <c r="F7" s="8">
        <f t="shared" si="1"/>
        <v>0</v>
      </c>
      <c r="G7" s="8">
        <f t="shared" si="2"/>
        <v>0.18999999999999995</v>
      </c>
      <c r="H7" s="20"/>
    </row>
    <row r="8" spans="2:10" x14ac:dyDescent="0.45">
      <c r="B8" s="4" t="s">
        <v>8</v>
      </c>
      <c r="C8" s="8">
        <v>1</v>
      </c>
      <c r="D8" s="8">
        <v>0.81</v>
      </c>
      <c r="E8" s="13">
        <f t="shared" si="0"/>
        <v>9.6153846153846145E-2</v>
      </c>
      <c r="F8" s="8">
        <f t="shared" si="1"/>
        <v>0</v>
      </c>
      <c r="G8" s="8">
        <f t="shared" si="2"/>
        <v>0.18999999999999995</v>
      </c>
      <c r="H8" s="20"/>
    </row>
    <row r="9" spans="2:10" x14ac:dyDescent="0.45">
      <c r="B9" s="4" t="s">
        <v>52</v>
      </c>
      <c r="C9" s="8">
        <v>1.2</v>
      </c>
      <c r="D9" s="8">
        <v>0.83</v>
      </c>
      <c r="E9" s="13">
        <f t="shared" si="0"/>
        <v>0.11538461538461542</v>
      </c>
      <c r="F9" s="8">
        <f t="shared" si="1"/>
        <v>0</v>
      </c>
      <c r="G9" s="8">
        <f t="shared" si="2"/>
        <v>0.37</v>
      </c>
      <c r="H9" s="20"/>
    </row>
    <row r="10" spans="2:10" x14ac:dyDescent="0.45">
      <c r="B10" s="4" t="s">
        <v>36</v>
      </c>
      <c r="C10" s="8">
        <v>1.1000000000000001</v>
      </c>
      <c r="D10" s="8">
        <v>0.87</v>
      </c>
      <c r="E10" s="13">
        <f t="shared" si="0"/>
        <v>0.13461538461538458</v>
      </c>
      <c r="F10" s="8">
        <f t="shared" si="1"/>
        <v>0</v>
      </c>
      <c r="G10" s="8">
        <f t="shared" si="2"/>
        <v>0.23000000000000009</v>
      </c>
      <c r="H10" s="20"/>
    </row>
    <row r="11" spans="2:10" x14ac:dyDescent="0.45">
      <c r="B11" s="4" t="s">
        <v>38</v>
      </c>
      <c r="C11" s="8">
        <v>0.9</v>
      </c>
      <c r="D11" s="8">
        <v>0.89</v>
      </c>
      <c r="E11" s="13">
        <f t="shared" si="0"/>
        <v>0.15384615384615385</v>
      </c>
      <c r="F11" s="8">
        <f t="shared" si="1"/>
        <v>0</v>
      </c>
      <c r="G11" s="8">
        <f t="shared" si="2"/>
        <v>1.0000000000000009E-2</v>
      </c>
      <c r="H11" s="20"/>
    </row>
    <row r="12" spans="2:10" x14ac:dyDescent="0.45">
      <c r="B12" s="4" t="s">
        <v>23</v>
      </c>
      <c r="C12" s="8">
        <v>1</v>
      </c>
      <c r="D12" s="8">
        <v>0.92</v>
      </c>
      <c r="E12" s="13">
        <f t="shared" si="0"/>
        <v>0.17307692307692313</v>
      </c>
      <c r="F12" s="8">
        <f t="shared" si="1"/>
        <v>0</v>
      </c>
      <c r="G12" s="8">
        <f t="shared" si="2"/>
        <v>7.999999999999996E-2</v>
      </c>
      <c r="H12" s="20"/>
    </row>
    <row r="13" spans="2:10" x14ac:dyDescent="0.45">
      <c r="B13" s="4" t="s">
        <v>28</v>
      </c>
      <c r="C13" s="8">
        <v>1.1000000000000001</v>
      </c>
      <c r="D13" s="8">
        <v>0.93</v>
      </c>
      <c r="E13" s="13">
        <f t="shared" si="0"/>
        <v>0.19230769230769229</v>
      </c>
      <c r="F13" s="8">
        <f t="shared" si="1"/>
        <v>0</v>
      </c>
      <c r="G13" s="8">
        <f t="shared" si="2"/>
        <v>0.17000000000000004</v>
      </c>
      <c r="H13" s="20"/>
    </row>
    <row r="14" spans="2:10" x14ac:dyDescent="0.45">
      <c r="B14" s="4" t="s">
        <v>50</v>
      </c>
      <c r="C14" s="8">
        <v>0.9</v>
      </c>
      <c r="D14" s="8">
        <v>0.93</v>
      </c>
      <c r="E14" s="13">
        <f t="shared" si="0"/>
        <v>0.21153846153846156</v>
      </c>
      <c r="F14" s="8">
        <f t="shared" si="1"/>
        <v>3.0000000000000027E-2</v>
      </c>
      <c r="G14" s="8">
        <f t="shared" si="2"/>
        <v>0</v>
      </c>
      <c r="H14" s="20"/>
    </row>
    <row r="15" spans="2:10" x14ac:dyDescent="0.45">
      <c r="B15" s="4" t="s">
        <v>24</v>
      </c>
      <c r="C15" s="8">
        <v>1.3</v>
      </c>
      <c r="D15" s="8">
        <v>0.94</v>
      </c>
      <c r="E15" s="13">
        <f t="shared" si="0"/>
        <v>0.23076923076923073</v>
      </c>
      <c r="F15" s="8">
        <f t="shared" si="1"/>
        <v>0</v>
      </c>
      <c r="G15" s="8">
        <f t="shared" si="2"/>
        <v>0.3600000000000001</v>
      </c>
      <c r="H15" s="20"/>
    </row>
    <row r="16" spans="2:10" x14ac:dyDescent="0.45">
      <c r="B16" s="4" t="s">
        <v>19</v>
      </c>
      <c r="C16" s="8">
        <v>1.3</v>
      </c>
      <c r="D16" s="8">
        <v>0.98</v>
      </c>
      <c r="E16" s="13">
        <f t="shared" si="0"/>
        <v>0.25</v>
      </c>
      <c r="F16" s="8">
        <f t="shared" si="1"/>
        <v>0</v>
      </c>
      <c r="G16" s="8">
        <f t="shared" si="2"/>
        <v>0.32000000000000006</v>
      </c>
      <c r="H16" s="20"/>
    </row>
    <row r="17" spans="2:8" x14ac:dyDescent="0.45">
      <c r="B17" s="4" t="s">
        <v>33</v>
      </c>
      <c r="C17" s="8">
        <v>1.4</v>
      </c>
      <c r="D17" s="8">
        <v>0.99</v>
      </c>
      <c r="E17" s="13">
        <f t="shared" si="0"/>
        <v>0.26923076923076927</v>
      </c>
      <c r="F17" s="8">
        <f t="shared" si="1"/>
        <v>0</v>
      </c>
      <c r="G17" s="8">
        <f t="shared" si="2"/>
        <v>0.40999999999999992</v>
      </c>
      <c r="H17" s="20"/>
    </row>
    <row r="18" spans="2:8" x14ac:dyDescent="0.45">
      <c r="B18" s="4" t="s">
        <v>9</v>
      </c>
      <c r="C18" s="8">
        <v>1.1000000000000001</v>
      </c>
      <c r="D18" s="8">
        <v>0.99</v>
      </c>
      <c r="E18" s="13">
        <f t="shared" si="0"/>
        <v>0.28846153846153844</v>
      </c>
      <c r="F18" s="8">
        <f t="shared" si="1"/>
        <v>0</v>
      </c>
      <c r="G18" s="8">
        <f t="shared" si="2"/>
        <v>0.1100000000000001</v>
      </c>
      <c r="H18" s="20"/>
    </row>
    <row r="19" spans="2:8" x14ac:dyDescent="0.45">
      <c r="B19" s="4" t="s">
        <v>48</v>
      </c>
      <c r="C19" s="8">
        <v>1.3</v>
      </c>
      <c r="D19" s="8">
        <v>1</v>
      </c>
      <c r="E19" s="13">
        <f t="shared" si="0"/>
        <v>0.30769230769230771</v>
      </c>
      <c r="F19" s="8">
        <f t="shared" si="1"/>
        <v>0</v>
      </c>
      <c r="G19" s="8">
        <f t="shared" si="2"/>
        <v>0.30000000000000004</v>
      </c>
      <c r="H19" s="20"/>
    </row>
    <row r="20" spans="2:8" x14ac:dyDescent="0.45">
      <c r="B20" s="4" t="s">
        <v>10</v>
      </c>
      <c r="C20" s="8">
        <v>1.2</v>
      </c>
      <c r="D20" s="8">
        <v>1.01</v>
      </c>
      <c r="E20" s="13">
        <f t="shared" si="0"/>
        <v>0.32692307692307687</v>
      </c>
      <c r="F20" s="8">
        <f t="shared" si="1"/>
        <v>0</v>
      </c>
      <c r="G20" s="8">
        <f t="shared" si="2"/>
        <v>0.18999999999999995</v>
      </c>
      <c r="H20" s="20"/>
    </row>
    <row r="21" spans="2:8" x14ac:dyDescent="0.45">
      <c r="B21" s="4" t="s">
        <v>12</v>
      </c>
      <c r="C21" s="8">
        <v>1</v>
      </c>
      <c r="D21" s="8">
        <v>1.01</v>
      </c>
      <c r="E21" s="13">
        <f t="shared" si="0"/>
        <v>0.34615384615384615</v>
      </c>
      <c r="F21" s="8">
        <f t="shared" si="1"/>
        <v>1.0000000000000009E-2</v>
      </c>
      <c r="G21" s="8">
        <f t="shared" si="2"/>
        <v>0</v>
      </c>
      <c r="H21" s="20"/>
    </row>
    <row r="22" spans="2:8" x14ac:dyDescent="0.45">
      <c r="B22" s="4" t="s">
        <v>51</v>
      </c>
      <c r="C22" s="8">
        <v>0.8</v>
      </c>
      <c r="D22" s="8">
        <v>1.05</v>
      </c>
      <c r="E22" s="13">
        <f t="shared" si="0"/>
        <v>0.36538461538461542</v>
      </c>
      <c r="F22" s="8">
        <f t="shared" si="1"/>
        <v>0.25</v>
      </c>
      <c r="G22" s="8">
        <f t="shared" si="2"/>
        <v>0</v>
      </c>
      <c r="H22" s="20"/>
    </row>
    <row r="23" spans="2:8" x14ac:dyDescent="0.45">
      <c r="B23" s="4" t="s">
        <v>39</v>
      </c>
      <c r="C23" s="8">
        <v>1.3</v>
      </c>
      <c r="D23" s="8">
        <v>1.0900000000000001</v>
      </c>
      <c r="E23" s="13">
        <f t="shared" si="0"/>
        <v>0.38461538461538458</v>
      </c>
      <c r="F23" s="8">
        <f t="shared" si="1"/>
        <v>0</v>
      </c>
      <c r="G23" s="8">
        <f t="shared" si="2"/>
        <v>0.20999999999999996</v>
      </c>
      <c r="H23" s="20"/>
    </row>
    <row r="24" spans="2:8" x14ac:dyDescent="0.45">
      <c r="B24" s="4" t="s">
        <v>17</v>
      </c>
      <c r="C24" s="8">
        <v>1.2</v>
      </c>
      <c r="D24" s="8">
        <v>1.1200000000000001</v>
      </c>
      <c r="E24" s="13">
        <f t="shared" si="0"/>
        <v>0.40384615384615385</v>
      </c>
      <c r="F24" s="8">
        <f t="shared" si="1"/>
        <v>0</v>
      </c>
      <c r="G24" s="8">
        <f t="shared" si="2"/>
        <v>7.9999999999999849E-2</v>
      </c>
      <c r="H24" s="20"/>
    </row>
    <row r="25" spans="2:8" x14ac:dyDescent="0.45">
      <c r="B25" s="4" t="s">
        <v>7</v>
      </c>
      <c r="C25" s="8">
        <v>1.4</v>
      </c>
      <c r="D25" s="8">
        <v>1.1200000000000001</v>
      </c>
      <c r="E25" s="13">
        <f t="shared" si="0"/>
        <v>0.42307692307692313</v>
      </c>
      <c r="F25" s="8">
        <f t="shared" si="1"/>
        <v>0</v>
      </c>
      <c r="G25" s="8">
        <f t="shared" si="2"/>
        <v>0.2799999999999998</v>
      </c>
      <c r="H25" s="20"/>
    </row>
    <row r="26" spans="2:8" x14ac:dyDescent="0.45">
      <c r="B26" s="4" t="s">
        <v>3</v>
      </c>
      <c r="C26" s="8">
        <v>1.2</v>
      </c>
      <c r="D26" s="8">
        <v>1.1299999999999999</v>
      </c>
      <c r="E26" s="13">
        <f t="shared" si="0"/>
        <v>0.44230769230769229</v>
      </c>
      <c r="F26" s="8">
        <f t="shared" si="1"/>
        <v>0</v>
      </c>
      <c r="G26" s="8">
        <f t="shared" si="2"/>
        <v>7.0000000000000062E-2</v>
      </c>
      <c r="H26" s="20"/>
    </row>
    <row r="27" spans="2:8" x14ac:dyDescent="0.45">
      <c r="B27" s="4" t="s">
        <v>32</v>
      </c>
      <c r="C27" s="8">
        <v>1.7</v>
      </c>
      <c r="D27" s="8">
        <v>1.1299999999999999</v>
      </c>
      <c r="E27" s="13">
        <f t="shared" si="0"/>
        <v>0.46153846153846156</v>
      </c>
      <c r="F27" s="8">
        <f t="shared" si="1"/>
        <v>0</v>
      </c>
      <c r="G27" s="8">
        <f t="shared" si="2"/>
        <v>0.57000000000000006</v>
      </c>
      <c r="H27" s="20"/>
    </row>
    <row r="28" spans="2:8" x14ac:dyDescent="0.45">
      <c r="B28" s="4" t="s">
        <v>46</v>
      </c>
      <c r="C28" s="8">
        <v>1.2</v>
      </c>
      <c r="D28" s="8">
        <v>1.1399999999999999</v>
      </c>
      <c r="E28" s="13">
        <f t="shared" si="0"/>
        <v>0.48076923076923073</v>
      </c>
      <c r="F28" s="8">
        <f t="shared" si="1"/>
        <v>0</v>
      </c>
      <c r="G28" s="8">
        <f t="shared" si="2"/>
        <v>6.0000000000000053E-2</v>
      </c>
      <c r="H28" s="20"/>
    </row>
    <row r="29" spans="2:8" x14ac:dyDescent="0.45">
      <c r="B29" s="4" t="s">
        <v>42</v>
      </c>
      <c r="C29" s="8">
        <v>1.2</v>
      </c>
      <c r="D29" s="8">
        <v>1.17</v>
      </c>
      <c r="E29" s="13">
        <f t="shared" si="0"/>
        <v>0.5</v>
      </c>
      <c r="F29" s="8">
        <f t="shared" si="1"/>
        <v>0</v>
      </c>
      <c r="G29" s="8">
        <f t="shared" si="2"/>
        <v>3.0000000000000027E-2</v>
      </c>
      <c r="H29" s="20"/>
    </row>
    <row r="30" spans="2:8" x14ac:dyDescent="0.45">
      <c r="B30" s="4" t="s">
        <v>6</v>
      </c>
      <c r="C30" s="8">
        <v>1.6</v>
      </c>
      <c r="D30" s="8">
        <v>1.18</v>
      </c>
      <c r="E30" s="13">
        <f t="shared" si="0"/>
        <v>0.51923076923076916</v>
      </c>
      <c r="F30" s="8">
        <f t="shared" si="1"/>
        <v>0</v>
      </c>
      <c r="G30" s="8">
        <f t="shared" si="2"/>
        <v>0.42000000000000015</v>
      </c>
      <c r="H30" s="20"/>
    </row>
    <row r="31" spans="2:8" x14ac:dyDescent="0.45">
      <c r="B31" s="4" t="s">
        <v>45</v>
      </c>
      <c r="C31" s="8">
        <v>1.4</v>
      </c>
      <c r="D31" s="8">
        <v>1.19</v>
      </c>
      <c r="E31" s="13">
        <f t="shared" si="0"/>
        <v>0.53846153846153844</v>
      </c>
      <c r="F31" s="8">
        <f t="shared" si="1"/>
        <v>0</v>
      </c>
      <c r="G31" s="8">
        <f t="shared" si="2"/>
        <v>0.20999999999999996</v>
      </c>
      <c r="H31" s="20"/>
    </row>
    <row r="32" spans="2:8" x14ac:dyDescent="0.45">
      <c r="B32" s="4" t="s">
        <v>29</v>
      </c>
      <c r="C32" s="8">
        <v>1.3</v>
      </c>
      <c r="D32" s="8">
        <v>1.19</v>
      </c>
      <c r="E32" s="13">
        <f t="shared" si="0"/>
        <v>0.55769230769230771</v>
      </c>
      <c r="F32" s="8">
        <f t="shared" si="1"/>
        <v>0</v>
      </c>
      <c r="G32" s="8">
        <f t="shared" si="2"/>
        <v>0.1100000000000001</v>
      </c>
      <c r="H32" s="20"/>
    </row>
    <row r="33" spans="2:10" x14ac:dyDescent="0.45">
      <c r="B33" s="4" t="s">
        <v>26</v>
      </c>
      <c r="C33" s="8">
        <v>1.1000000000000001</v>
      </c>
      <c r="D33" s="8">
        <v>1.21</v>
      </c>
      <c r="E33" s="13">
        <f t="shared" si="0"/>
        <v>0.57692307692307687</v>
      </c>
      <c r="F33" s="8">
        <f t="shared" si="1"/>
        <v>0.10999999999999988</v>
      </c>
      <c r="G33" s="8">
        <f t="shared" si="2"/>
        <v>0</v>
      </c>
      <c r="H33" s="20"/>
    </row>
    <row r="34" spans="2:10" x14ac:dyDescent="0.45">
      <c r="B34" s="4" t="s">
        <v>5</v>
      </c>
      <c r="C34" s="8">
        <v>1.5</v>
      </c>
      <c r="D34" s="8">
        <v>1.23</v>
      </c>
      <c r="E34" s="13">
        <f t="shared" si="0"/>
        <v>0.59615384615384615</v>
      </c>
      <c r="F34" s="8">
        <f t="shared" si="1"/>
        <v>0</v>
      </c>
      <c r="G34" s="8">
        <f t="shared" si="2"/>
        <v>0.27</v>
      </c>
      <c r="H34" s="20"/>
    </row>
    <row r="35" spans="2:10" x14ac:dyDescent="0.45">
      <c r="B35" s="4" t="s">
        <v>15</v>
      </c>
      <c r="C35" s="8">
        <v>1.4</v>
      </c>
      <c r="D35" s="8">
        <v>1.23</v>
      </c>
      <c r="E35" s="13">
        <f t="shared" si="0"/>
        <v>0.61538461538461542</v>
      </c>
      <c r="F35" s="8">
        <f t="shared" si="1"/>
        <v>0</v>
      </c>
      <c r="G35" s="8">
        <f t="shared" si="2"/>
        <v>0.16999999999999993</v>
      </c>
      <c r="H35" s="20"/>
    </row>
    <row r="36" spans="2:10" x14ac:dyDescent="0.45">
      <c r="B36" s="4" t="s">
        <v>13</v>
      </c>
      <c r="C36" s="8">
        <v>1.7</v>
      </c>
      <c r="D36" s="8">
        <v>1.24</v>
      </c>
      <c r="E36" s="13">
        <f t="shared" si="0"/>
        <v>0.63461538461538458</v>
      </c>
      <c r="F36" s="8">
        <f t="shared" si="1"/>
        <v>0</v>
      </c>
      <c r="G36" s="8">
        <f t="shared" si="2"/>
        <v>0.45999999999999996</v>
      </c>
      <c r="H36" s="20"/>
    </row>
    <row r="37" spans="2:10" x14ac:dyDescent="0.45">
      <c r="B37" s="4" t="s">
        <v>43</v>
      </c>
      <c r="C37" s="8">
        <v>1.6</v>
      </c>
      <c r="D37" s="8">
        <v>1.26</v>
      </c>
      <c r="E37" s="13">
        <f t="shared" si="0"/>
        <v>0.65384615384615385</v>
      </c>
      <c r="F37" s="8">
        <f t="shared" si="1"/>
        <v>0</v>
      </c>
      <c r="G37" s="8">
        <f t="shared" si="2"/>
        <v>0.34000000000000008</v>
      </c>
      <c r="H37" s="20"/>
    </row>
    <row r="38" spans="2:10" x14ac:dyDescent="0.45">
      <c r="B38" s="4" t="s">
        <v>35</v>
      </c>
      <c r="C38" s="8">
        <v>1.5</v>
      </c>
      <c r="D38" s="8">
        <v>1.28</v>
      </c>
      <c r="E38" s="13">
        <f t="shared" si="0"/>
        <v>0.67307692307692313</v>
      </c>
      <c r="F38" s="8">
        <f t="shared" si="1"/>
        <v>0</v>
      </c>
      <c r="G38" s="8">
        <f t="shared" si="2"/>
        <v>0.21999999999999997</v>
      </c>
      <c r="H38" s="20"/>
    </row>
    <row r="39" spans="2:10" x14ac:dyDescent="0.45">
      <c r="B39" s="4" t="s">
        <v>22</v>
      </c>
      <c r="C39" s="8">
        <v>1.6</v>
      </c>
      <c r="D39" s="8">
        <v>1.33</v>
      </c>
      <c r="E39" s="13">
        <f t="shared" si="0"/>
        <v>0.69230769230769229</v>
      </c>
      <c r="F39" s="8">
        <f t="shared" si="1"/>
        <v>0</v>
      </c>
      <c r="G39" s="8">
        <f t="shared" si="2"/>
        <v>0.27</v>
      </c>
      <c r="H39" s="20"/>
    </row>
    <row r="40" spans="2:10" x14ac:dyDescent="0.45">
      <c r="B40" s="4" t="s">
        <v>16</v>
      </c>
      <c r="C40" s="8">
        <v>1.8</v>
      </c>
      <c r="D40" s="8">
        <v>1.34</v>
      </c>
      <c r="E40" s="13">
        <f t="shared" si="0"/>
        <v>0.71153846153846156</v>
      </c>
      <c r="F40" s="8">
        <f t="shared" si="1"/>
        <v>0</v>
      </c>
      <c r="G40" s="8">
        <f t="shared" si="2"/>
        <v>0.45999999999999996</v>
      </c>
      <c r="H40" s="20"/>
    </row>
    <row r="41" spans="2:10" x14ac:dyDescent="0.45">
      <c r="B41" s="4" t="s">
        <v>44</v>
      </c>
      <c r="C41" s="8">
        <v>1.6</v>
      </c>
      <c r="D41" s="8">
        <v>1.34</v>
      </c>
      <c r="E41" s="13">
        <f t="shared" si="0"/>
        <v>0.73076923076923084</v>
      </c>
      <c r="F41" s="8">
        <f t="shared" si="1"/>
        <v>0</v>
      </c>
      <c r="G41" s="8">
        <f t="shared" si="2"/>
        <v>0.26</v>
      </c>
      <c r="H41" s="20"/>
    </row>
    <row r="42" spans="2:10" x14ac:dyDescent="0.45">
      <c r="B42" s="4" t="s">
        <v>2</v>
      </c>
      <c r="C42" s="8">
        <v>1.4</v>
      </c>
      <c r="D42" s="8">
        <v>1.37</v>
      </c>
      <c r="E42" s="13">
        <f t="shared" si="0"/>
        <v>0.75</v>
      </c>
      <c r="F42" s="8">
        <f t="shared" si="1"/>
        <v>0</v>
      </c>
      <c r="G42" s="8">
        <f t="shared" si="2"/>
        <v>2.9999999999999805E-2</v>
      </c>
      <c r="H42" s="20"/>
    </row>
    <row r="43" spans="2:10" x14ac:dyDescent="0.45">
      <c r="B43" s="4" t="s">
        <v>4</v>
      </c>
      <c r="C43" s="8">
        <v>1.6</v>
      </c>
      <c r="D43" s="8">
        <v>1.42</v>
      </c>
      <c r="E43" s="13">
        <f t="shared" si="0"/>
        <v>0.76923076923076916</v>
      </c>
      <c r="F43" s="8">
        <f t="shared" si="1"/>
        <v>0</v>
      </c>
      <c r="G43" s="8">
        <f t="shared" si="2"/>
        <v>0.18000000000000016</v>
      </c>
      <c r="H43" s="20"/>
    </row>
    <row r="44" spans="2:10" x14ac:dyDescent="0.45">
      <c r="B44" s="4" t="s">
        <v>41</v>
      </c>
      <c r="C44" s="8">
        <v>1.6</v>
      </c>
      <c r="D44" s="8">
        <v>1.42</v>
      </c>
      <c r="E44" s="13">
        <f t="shared" si="0"/>
        <v>0.78846153846153844</v>
      </c>
      <c r="F44" s="8">
        <f t="shared" si="1"/>
        <v>0</v>
      </c>
      <c r="G44" s="8">
        <f t="shared" si="2"/>
        <v>0.18000000000000016</v>
      </c>
      <c r="H44" s="20"/>
      <c r="J44" s="17" t="s">
        <v>53</v>
      </c>
    </row>
    <row r="45" spans="2:10" x14ac:dyDescent="0.45">
      <c r="B45" s="4" t="s">
        <v>49</v>
      </c>
      <c r="C45" s="8">
        <v>1.6</v>
      </c>
      <c r="D45" s="8">
        <v>1.43</v>
      </c>
      <c r="E45" s="13">
        <f t="shared" si="0"/>
        <v>0.80769230769230771</v>
      </c>
      <c r="F45" s="8">
        <f t="shared" si="1"/>
        <v>0</v>
      </c>
      <c r="G45" s="8">
        <f t="shared" si="2"/>
        <v>0.17000000000000015</v>
      </c>
      <c r="H45" s="20"/>
    </row>
    <row r="46" spans="2:10" x14ac:dyDescent="0.45">
      <c r="B46" s="4" t="s">
        <v>31</v>
      </c>
      <c r="C46" s="8">
        <v>1.4</v>
      </c>
      <c r="D46" s="8">
        <v>1.43</v>
      </c>
      <c r="E46" s="13">
        <f t="shared" si="0"/>
        <v>0.82692307692307687</v>
      </c>
      <c r="F46" s="8">
        <f t="shared" si="1"/>
        <v>3.0000000000000027E-2</v>
      </c>
      <c r="G46" s="8">
        <f t="shared" si="2"/>
        <v>0</v>
      </c>
      <c r="H46" s="20"/>
    </row>
    <row r="47" spans="2:10" x14ac:dyDescent="0.45">
      <c r="B47" s="4" t="s">
        <v>27</v>
      </c>
      <c r="C47" s="8">
        <v>2</v>
      </c>
      <c r="D47" s="8">
        <v>1.44</v>
      </c>
      <c r="E47" s="13">
        <f t="shared" si="0"/>
        <v>0.84615384615384615</v>
      </c>
      <c r="F47" s="8">
        <f t="shared" si="1"/>
        <v>0</v>
      </c>
      <c r="G47" s="8">
        <f t="shared" si="2"/>
        <v>0.56000000000000005</v>
      </c>
      <c r="H47" s="20"/>
    </row>
    <row r="48" spans="2:10" x14ac:dyDescent="0.45">
      <c r="B48" s="4" t="s">
        <v>40</v>
      </c>
      <c r="C48" s="8">
        <v>2.5</v>
      </c>
      <c r="D48" s="8">
        <v>1.47</v>
      </c>
      <c r="E48" s="13">
        <f t="shared" si="0"/>
        <v>0.86538461538461542</v>
      </c>
      <c r="F48" s="8">
        <f t="shared" si="1"/>
        <v>0</v>
      </c>
      <c r="G48" s="8">
        <f t="shared" si="2"/>
        <v>1.03</v>
      </c>
      <c r="H48" s="20"/>
    </row>
    <row r="49" spans="2:8" x14ac:dyDescent="0.45">
      <c r="B49" s="4" t="s">
        <v>14</v>
      </c>
      <c r="C49" s="8">
        <v>1.7</v>
      </c>
      <c r="D49" s="8">
        <v>1.53</v>
      </c>
      <c r="E49" s="13">
        <f t="shared" si="0"/>
        <v>0.88461538461538458</v>
      </c>
      <c r="F49" s="8">
        <f t="shared" si="1"/>
        <v>0</v>
      </c>
      <c r="G49" s="8">
        <f t="shared" si="2"/>
        <v>0.16999999999999993</v>
      </c>
      <c r="H49" s="20"/>
    </row>
    <row r="50" spans="2:8" x14ac:dyDescent="0.45">
      <c r="B50" s="4" t="s">
        <v>20</v>
      </c>
      <c r="C50" s="8">
        <v>2.2000000000000002</v>
      </c>
      <c r="D50" s="8">
        <v>1.56</v>
      </c>
      <c r="E50" s="13">
        <f t="shared" si="0"/>
        <v>0.90384615384615385</v>
      </c>
      <c r="F50" s="8">
        <f t="shared" si="1"/>
        <v>0</v>
      </c>
      <c r="G50" s="8">
        <f t="shared" si="2"/>
        <v>0.64000000000000012</v>
      </c>
      <c r="H50" s="20"/>
    </row>
    <row r="51" spans="2:8" x14ac:dyDescent="0.45">
      <c r="B51" s="4" t="s">
        <v>18</v>
      </c>
      <c r="C51" s="8">
        <v>1.8</v>
      </c>
      <c r="D51" s="8">
        <v>1.59</v>
      </c>
      <c r="E51" s="13">
        <f t="shared" si="0"/>
        <v>0.92307692307692313</v>
      </c>
      <c r="F51" s="8">
        <f t="shared" si="1"/>
        <v>0</v>
      </c>
      <c r="G51" s="8">
        <f t="shared" si="2"/>
        <v>0.20999999999999996</v>
      </c>
      <c r="H51" s="20"/>
    </row>
    <row r="52" spans="2:8" x14ac:dyDescent="0.45">
      <c r="B52" s="4" t="s">
        <v>37</v>
      </c>
      <c r="C52" s="8">
        <v>2.1</v>
      </c>
      <c r="D52" s="8">
        <v>1.59</v>
      </c>
      <c r="E52" s="13">
        <f t="shared" si="0"/>
        <v>0.94230769230769229</v>
      </c>
      <c r="F52" s="8">
        <f t="shared" si="1"/>
        <v>0</v>
      </c>
      <c r="G52" s="8">
        <f t="shared" si="2"/>
        <v>0.51</v>
      </c>
      <c r="H52" s="20"/>
    </row>
    <row r="53" spans="2:8" x14ac:dyDescent="0.45">
      <c r="B53" s="4" t="s">
        <v>21</v>
      </c>
      <c r="C53" s="8">
        <v>2</v>
      </c>
      <c r="D53" s="8">
        <v>1.68</v>
      </c>
      <c r="E53" s="13">
        <f t="shared" si="0"/>
        <v>0.96153846153846156</v>
      </c>
      <c r="F53" s="8">
        <f t="shared" si="1"/>
        <v>0</v>
      </c>
      <c r="G53" s="8">
        <f t="shared" si="2"/>
        <v>0.32000000000000006</v>
      </c>
      <c r="H53" s="20"/>
    </row>
    <row r="54" spans="2:8" x14ac:dyDescent="0.45">
      <c r="B54" s="4" t="s">
        <v>11</v>
      </c>
      <c r="C54" s="8">
        <v>2.1</v>
      </c>
      <c r="D54" s="8">
        <v>1.78</v>
      </c>
      <c r="E54" s="13">
        <f t="shared" si="0"/>
        <v>0.98076923076923073</v>
      </c>
      <c r="F54" s="8">
        <f t="shared" si="1"/>
        <v>0</v>
      </c>
      <c r="G54" s="8">
        <f t="shared" si="2"/>
        <v>0.32000000000000006</v>
      </c>
      <c r="H54" s="20"/>
    </row>
    <row r="55" spans="2:8" x14ac:dyDescent="0.45">
      <c r="B55" s="5"/>
      <c r="C55" s="9"/>
      <c r="D55" s="9"/>
      <c r="E55" s="14">
        <f t="shared" si="0"/>
        <v>1</v>
      </c>
      <c r="F55" s="9">
        <f t="shared" si="1"/>
        <v>0</v>
      </c>
      <c r="G55" s="9">
        <f t="shared" si="2"/>
        <v>0</v>
      </c>
      <c r="H55" s="20"/>
    </row>
    <row r="56" spans="2:8" x14ac:dyDescent="0.45">
      <c r="B56" s="10" t="s">
        <v>53</v>
      </c>
      <c r="C56" s="11"/>
      <c r="D56" s="11"/>
      <c r="E56" s="11"/>
      <c r="F56" s="11"/>
      <c r="G56" s="11"/>
      <c r="H56" s="18"/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C12-B2F1-4F0E-A3F4-F6B97A7BABA9}">
  <dimension ref="B1:J56"/>
  <sheetViews>
    <sheetView showGridLines="0" topLeftCell="G1" zoomScaleNormal="100" workbookViewId="0">
      <selection activeCell="I1" sqref="I1"/>
    </sheetView>
  </sheetViews>
  <sheetFormatPr defaultRowHeight="14.25" x14ac:dyDescent="0.45"/>
  <cols>
    <col min="1" max="1" width="2.265625" customWidth="1"/>
    <col min="2" max="2" width="29.9296875" customWidth="1"/>
    <col min="3" max="4" width="10.265625" customWidth="1"/>
    <col min="5" max="5" width="8.06640625" customWidth="1"/>
    <col min="6" max="7" width="10.265625" customWidth="1"/>
    <col min="8" max="8" width="8.06640625" customWidth="1"/>
  </cols>
  <sheetData>
    <row r="1" spans="2:10" ht="15.4" x14ac:dyDescent="0.45">
      <c r="B1" s="2" t="s">
        <v>55</v>
      </c>
      <c r="C1" s="1"/>
      <c r="D1" s="1"/>
      <c r="E1" s="1"/>
      <c r="F1" s="1"/>
      <c r="G1" s="1"/>
      <c r="H1" s="18"/>
      <c r="J1" s="15" t="s">
        <v>54</v>
      </c>
    </row>
    <row r="2" spans="2:10" x14ac:dyDescent="0.45">
      <c r="B2" s="2" t="s">
        <v>1</v>
      </c>
      <c r="C2" s="6">
        <v>2007</v>
      </c>
      <c r="D2" s="6">
        <v>2017</v>
      </c>
      <c r="E2" s="6" t="s">
        <v>0</v>
      </c>
      <c r="F2" s="6" t="s">
        <v>57</v>
      </c>
      <c r="G2" s="21" t="s">
        <v>58</v>
      </c>
      <c r="H2" s="19"/>
      <c r="J2" s="16" t="s">
        <v>56</v>
      </c>
    </row>
    <row r="3" spans="2:10" x14ac:dyDescent="0.45">
      <c r="B3" s="3"/>
      <c r="C3" s="7"/>
      <c r="D3" s="7"/>
      <c r="E3" s="12">
        <f xml:space="preserve"> 1 - (ROWS($B$3:$B$55) - ROW() + ROW($B$2)) / (ROWS($B$3:$B$55) - 1)</f>
        <v>0</v>
      </c>
      <c r="F3" s="7">
        <f xml:space="preserve"> IF((D3 - C3) &gt;  0,(D3 - C3),0)</f>
        <v>0</v>
      </c>
      <c r="G3" s="7">
        <f xml:space="preserve"> IF((D3 - C3) &lt;  0,-(D3 - C3),0)</f>
        <v>0</v>
      </c>
      <c r="H3" s="20"/>
    </row>
    <row r="4" spans="2:10" x14ac:dyDescent="0.45">
      <c r="B4" s="4" t="s">
        <v>34</v>
      </c>
      <c r="C4" s="8">
        <v>0.8</v>
      </c>
      <c r="D4" s="8">
        <v>0.55000000000000004</v>
      </c>
      <c r="E4" s="13">
        <f t="shared" ref="E4:E55" si="0" xml:space="preserve"> 1 - (ROWS($B$3:$B$55) - ROW() + ROW($B$2)) / (ROWS($B$3:$B$55) - 1)</f>
        <v>1.9230769230769273E-2</v>
      </c>
      <c r="F4" s="8">
        <f t="shared" ref="F4:F55" si="1" xml:space="preserve"> IF((D4 - C4) &gt;  0,(D4 - C4),0)</f>
        <v>0</v>
      </c>
      <c r="G4" s="8">
        <f t="shared" ref="G4:G55" si="2" xml:space="preserve"> IF((D4 - C4) &lt;  0,-(D4 - C4),0)</f>
        <v>0.25</v>
      </c>
      <c r="H4" s="20"/>
    </row>
    <row r="5" spans="2:10" x14ac:dyDescent="0.45">
      <c r="B5" s="4" t="s">
        <v>30</v>
      </c>
      <c r="C5" s="8">
        <v>0.9</v>
      </c>
      <c r="D5" s="8">
        <v>0.6</v>
      </c>
      <c r="E5" s="13">
        <f t="shared" si="0"/>
        <v>3.8461538461538436E-2</v>
      </c>
      <c r="F5" s="8">
        <f t="shared" si="1"/>
        <v>0</v>
      </c>
      <c r="G5" s="8">
        <f t="shared" si="2"/>
        <v>0.30000000000000004</v>
      </c>
      <c r="H5" s="20"/>
    </row>
    <row r="6" spans="2:10" x14ac:dyDescent="0.45">
      <c r="B6" s="4" t="s">
        <v>47</v>
      </c>
      <c r="C6" s="8">
        <v>1</v>
      </c>
      <c r="D6" s="8">
        <v>0.75</v>
      </c>
      <c r="E6" s="13">
        <f t="shared" si="0"/>
        <v>5.7692307692307709E-2</v>
      </c>
      <c r="F6" s="8">
        <f t="shared" si="1"/>
        <v>0</v>
      </c>
      <c r="G6" s="8">
        <f t="shared" si="2"/>
        <v>0.25</v>
      </c>
      <c r="H6" s="20"/>
    </row>
    <row r="7" spans="2:10" x14ac:dyDescent="0.45">
      <c r="B7" s="4" t="s">
        <v>25</v>
      </c>
      <c r="C7" s="8">
        <v>1</v>
      </c>
      <c r="D7" s="8">
        <v>0.81</v>
      </c>
      <c r="E7" s="13">
        <f t="shared" si="0"/>
        <v>7.6923076923076872E-2</v>
      </c>
      <c r="F7" s="8">
        <f t="shared" si="1"/>
        <v>0</v>
      </c>
      <c r="G7" s="8">
        <f t="shared" si="2"/>
        <v>0.18999999999999995</v>
      </c>
      <c r="H7" s="20"/>
    </row>
    <row r="8" spans="2:10" x14ac:dyDescent="0.45">
      <c r="B8" s="4" t="s">
        <v>8</v>
      </c>
      <c r="C8" s="8">
        <v>1</v>
      </c>
      <c r="D8" s="8">
        <v>0.81</v>
      </c>
      <c r="E8" s="13">
        <f t="shared" si="0"/>
        <v>9.6153846153846145E-2</v>
      </c>
      <c r="F8" s="8">
        <f t="shared" si="1"/>
        <v>0</v>
      </c>
      <c r="G8" s="8">
        <f t="shared" si="2"/>
        <v>0.18999999999999995</v>
      </c>
      <c r="H8" s="20"/>
    </row>
    <row r="9" spans="2:10" x14ac:dyDescent="0.45">
      <c r="B9" s="4" t="s">
        <v>52</v>
      </c>
      <c r="C9" s="8">
        <v>1.2</v>
      </c>
      <c r="D9" s="8">
        <v>0.83</v>
      </c>
      <c r="E9" s="13">
        <f t="shared" si="0"/>
        <v>0.11538461538461542</v>
      </c>
      <c r="F9" s="8">
        <f t="shared" si="1"/>
        <v>0</v>
      </c>
      <c r="G9" s="8">
        <f t="shared" si="2"/>
        <v>0.37</v>
      </c>
      <c r="H9" s="20"/>
    </row>
    <row r="10" spans="2:10" x14ac:dyDescent="0.45">
      <c r="B10" s="4" t="s">
        <v>36</v>
      </c>
      <c r="C10" s="8">
        <v>1.1000000000000001</v>
      </c>
      <c r="D10" s="8">
        <v>0.87</v>
      </c>
      <c r="E10" s="13">
        <f t="shared" si="0"/>
        <v>0.13461538461538458</v>
      </c>
      <c r="F10" s="8">
        <f t="shared" si="1"/>
        <v>0</v>
      </c>
      <c r="G10" s="8">
        <f t="shared" si="2"/>
        <v>0.23000000000000009</v>
      </c>
      <c r="H10" s="20"/>
    </row>
    <row r="11" spans="2:10" x14ac:dyDescent="0.45">
      <c r="B11" s="4" t="s">
        <v>38</v>
      </c>
      <c r="C11" s="8">
        <v>0.9</v>
      </c>
      <c r="D11" s="8">
        <v>0.89</v>
      </c>
      <c r="E11" s="13">
        <f t="shared" si="0"/>
        <v>0.15384615384615385</v>
      </c>
      <c r="F11" s="8">
        <f t="shared" si="1"/>
        <v>0</v>
      </c>
      <c r="G11" s="8">
        <f t="shared" si="2"/>
        <v>1.0000000000000009E-2</v>
      </c>
      <c r="H11" s="20"/>
    </row>
    <row r="12" spans="2:10" x14ac:dyDescent="0.45">
      <c r="B12" s="4" t="s">
        <v>23</v>
      </c>
      <c r="C12" s="8">
        <v>1</v>
      </c>
      <c r="D12" s="8">
        <v>0.92</v>
      </c>
      <c r="E12" s="13">
        <f t="shared" si="0"/>
        <v>0.17307692307692313</v>
      </c>
      <c r="F12" s="8">
        <f t="shared" si="1"/>
        <v>0</v>
      </c>
      <c r="G12" s="8">
        <f t="shared" si="2"/>
        <v>7.999999999999996E-2</v>
      </c>
      <c r="H12" s="20"/>
    </row>
    <row r="13" spans="2:10" x14ac:dyDescent="0.45">
      <c r="B13" s="4" t="s">
        <v>28</v>
      </c>
      <c r="C13" s="8">
        <v>1.1000000000000001</v>
      </c>
      <c r="D13" s="8">
        <v>0.93</v>
      </c>
      <c r="E13" s="13">
        <f t="shared" si="0"/>
        <v>0.19230769230769229</v>
      </c>
      <c r="F13" s="8">
        <f t="shared" si="1"/>
        <v>0</v>
      </c>
      <c r="G13" s="8">
        <f t="shared" si="2"/>
        <v>0.17000000000000004</v>
      </c>
      <c r="H13" s="20"/>
    </row>
    <row r="14" spans="2:10" x14ac:dyDescent="0.45">
      <c r="B14" s="4" t="s">
        <v>50</v>
      </c>
      <c r="C14" s="8">
        <v>0.9</v>
      </c>
      <c r="D14" s="8">
        <v>0.93</v>
      </c>
      <c r="E14" s="13">
        <f t="shared" si="0"/>
        <v>0.21153846153846156</v>
      </c>
      <c r="F14" s="8">
        <f t="shared" si="1"/>
        <v>3.0000000000000027E-2</v>
      </c>
      <c r="G14" s="8">
        <f t="shared" si="2"/>
        <v>0</v>
      </c>
      <c r="H14" s="20"/>
    </row>
    <row r="15" spans="2:10" x14ac:dyDescent="0.45">
      <c r="B15" s="4" t="s">
        <v>24</v>
      </c>
      <c r="C15" s="8">
        <v>1.3</v>
      </c>
      <c r="D15" s="8">
        <v>0.94</v>
      </c>
      <c r="E15" s="13">
        <f t="shared" si="0"/>
        <v>0.23076923076923073</v>
      </c>
      <c r="F15" s="8">
        <f t="shared" si="1"/>
        <v>0</v>
      </c>
      <c r="G15" s="8">
        <f t="shared" si="2"/>
        <v>0.3600000000000001</v>
      </c>
      <c r="H15" s="20"/>
    </row>
    <row r="16" spans="2:10" x14ac:dyDescent="0.45">
      <c r="B16" s="4" t="s">
        <v>19</v>
      </c>
      <c r="C16" s="8">
        <v>1.3</v>
      </c>
      <c r="D16" s="8">
        <v>0.98</v>
      </c>
      <c r="E16" s="13">
        <f t="shared" si="0"/>
        <v>0.25</v>
      </c>
      <c r="F16" s="8">
        <f t="shared" si="1"/>
        <v>0</v>
      </c>
      <c r="G16" s="8">
        <f t="shared" si="2"/>
        <v>0.32000000000000006</v>
      </c>
      <c r="H16" s="20"/>
    </row>
    <row r="17" spans="2:8" x14ac:dyDescent="0.45">
      <c r="B17" s="4" t="s">
        <v>33</v>
      </c>
      <c r="C17" s="8">
        <v>1.4</v>
      </c>
      <c r="D17" s="8">
        <v>0.99</v>
      </c>
      <c r="E17" s="13">
        <f t="shared" si="0"/>
        <v>0.26923076923076927</v>
      </c>
      <c r="F17" s="8">
        <f t="shared" si="1"/>
        <v>0</v>
      </c>
      <c r="G17" s="8">
        <f t="shared" si="2"/>
        <v>0.40999999999999992</v>
      </c>
      <c r="H17" s="20"/>
    </row>
    <row r="18" spans="2:8" x14ac:dyDescent="0.45">
      <c r="B18" s="4" t="s">
        <v>9</v>
      </c>
      <c r="C18" s="8">
        <v>1.1000000000000001</v>
      </c>
      <c r="D18" s="8">
        <v>0.99</v>
      </c>
      <c r="E18" s="13">
        <f t="shared" si="0"/>
        <v>0.28846153846153844</v>
      </c>
      <c r="F18" s="8">
        <f t="shared" si="1"/>
        <v>0</v>
      </c>
      <c r="G18" s="8">
        <f t="shared" si="2"/>
        <v>0.1100000000000001</v>
      </c>
      <c r="H18" s="20"/>
    </row>
    <row r="19" spans="2:8" x14ac:dyDescent="0.45">
      <c r="B19" s="4" t="s">
        <v>48</v>
      </c>
      <c r="C19" s="8">
        <v>1.3</v>
      </c>
      <c r="D19" s="8">
        <v>1</v>
      </c>
      <c r="E19" s="13">
        <f t="shared" si="0"/>
        <v>0.30769230769230771</v>
      </c>
      <c r="F19" s="8">
        <f t="shared" si="1"/>
        <v>0</v>
      </c>
      <c r="G19" s="8">
        <f t="shared" si="2"/>
        <v>0.30000000000000004</v>
      </c>
      <c r="H19" s="20"/>
    </row>
    <row r="20" spans="2:8" x14ac:dyDescent="0.45">
      <c r="B20" s="4" t="s">
        <v>10</v>
      </c>
      <c r="C20" s="8">
        <v>1.2</v>
      </c>
      <c r="D20" s="8">
        <v>1.01</v>
      </c>
      <c r="E20" s="13">
        <f t="shared" si="0"/>
        <v>0.32692307692307687</v>
      </c>
      <c r="F20" s="8">
        <f t="shared" si="1"/>
        <v>0</v>
      </c>
      <c r="G20" s="8">
        <f t="shared" si="2"/>
        <v>0.18999999999999995</v>
      </c>
      <c r="H20" s="20"/>
    </row>
    <row r="21" spans="2:8" x14ac:dyDescent="0.45">
      <c r="B21" s="4" t="s">
        <v>12</v>
      </c>
      <c r="C21" s="8">
        <v>1</v>
      </c>
      <c r="D21" s="8">
        <v>1.01</v>
      </c>
      <c r="E21" s="13">
        <f t="shared" si="0"/>
        <v>0.34615384615384615</v>
      </c>
      <c r="F21" s="8">
        <f t="shared" si="1"/>
        <v>1.0000000000000009E-2</v>
      </c>
      <c r="G21" s="8">
        <f t="shared" si="2"/>
        <v>0</v>
      </c>
      <c r="H21" s="20"/>
    </row>
    <row r="22" spans="2:8" x14ac:dyDescent="0.45">
      <c r="B22" s="4" t="s">
        <v>51</v>
      </c>
      <c r="C22" s="8">
        <v>0.8</v>
      </c>
      <c r="D22" s="8">
        <v>1.05</v>
      </c>
      <c r="E22" s="13">
        <f t="shared" si="0"/>
        <v>0.36538461538461542</v>
      </c>
      <c r="F22" s="8">
        <f t="shared" si="1"/>
        <v>0.25</v>
      </c>
      <c r="G22" s="8">
        <f t="shared" si="2"/>
        <v>0</v>
      </c>
      <c r="H22" s="20"/>
    </row>
    <row r="23" spans="2:8" x14ac:dyDescent="0.45">
      <c r="B23" s="4" t="s">
        <v>39</v>
      </c>
      <c r="C23" s="8">
        <v>1.3</v>
      </c>
      <c r="D23" s="8">
        <v>1.0900000000000001</v>
      </c>
      <c r="E23" s="13">
        <f t="shared" si="0"/>
        <v>0.38461538461538458</v>
      </c>
      <c r="F23" s="8">
        <f t="shared" si="1"/>
        <v>0</v>
      </c>
      <c r="G23" s="8">
        <f t="shared" si="2"/>
        <v>0.20999999999999996</v>
      </c>
      <c r="H23" s="20"/>
    </row>
    <row r="24" spans="2:8" x14ac:dyDescent="0.45">
      <c r="B24" s="4" t="s">
        <v>17</v>
      </c>
      <c r="C24" s="8">
        <v>1.2</v>
      </c>
      <c r="D24" s="8">
        <v>1.1200000000000001</v>
      </c>
      <c r="E24" s="13">
        <f t="shared" si="0"/>
        <v>0.40384615384615385</v>
      </c>
      <c r="F24" s="8">
        <f t="shared" si="1"/>
        <v>0</v>
      </c>
      <c r="G24" s="8">
        <f t="shared" si="2"/>
        <v>7.9999999999999849E-2</v>
      </c>
      <c r="H24" s="20"/>
    </row>
    <row r="25" spans="2:8" x14ac:dyDescent="0.45">
      <c r="B25" s="4" t="s">
        <v>7</v>
      </c>
      <c r="C25" s="8">
        <v>1.4</v>
      </c>
      <c r="D25" s="8">
        <v>1.1200000000000001</v>
      </c>
      <c r="E25" s="13">
        <f t="shared" si="0"/>
        <v>0.42307692307692313</v>
      </c>
      <c r="F25" s="8">
        <f t="shared" si="1"/>
        <v>0</v>
      </c>
      <c r="G25" s="8">
        <f t="shared" si="2"/>
        <v>0.2799999999999998</v>
      </c>
      <c r="H25" s="20"/>
    </row>
    <row r="26" spans="2:8" x14ac:dyDescent="0.45">
      <c r="B26" s="4" t="s">
        <v>3</v>
      </c>
      <c r="C26" s="8">
        <v>1.2</v>
      </c>
      <c r="D26" s="8">
        <v>1.1299999999999999</v>
      </c>
      <c r="E26" s="13">
        <f t="shared" si="0"/>
        <v>0.44230769230769229</v>
      </c>
      <c r="F26" s="8">
        <f t="shared" si="1"/>
        <v>0</v>
      </c>
      <c r="G26" s="8">
        <f t="shared" si="2"/>
        <v>7.0000000000000062E-2</v>
      </c>
      <c r="H26" s="20"/>
    </row>
    <row r="27" spans="2:8" x14ac:dyDescent="0.45">
      <c r="B27" s="4" t="s">
        <v>32</v>
      </c>
      <c r="C27" s="8">
        <v>1.7</v>
      </c>
      <c r="D27" s="8">
        <v>1.1299999999999999</v>
      </c>
      <c r="E27" s="13">
        <f t="shared" si="0"/>
        <v>0.46153846153846156</v>
      </c>
      <c r="F27" s="8">
        <f t="shared" si="1"/>
        <v>0</v>
      </c>
      <c r="G27" s="8">
        <f t="shared" si="2"/>
        <v>0.57000000000000006</v>
      </c>
      <c r="H27" s="20"/>
    </row>
    <row r="28" spans="2:8" x14ac:dyDescent="0.45">
      <c r="B28" s="4" t="s">
        <v>46</v>
      </c>
      <c r="C28" s="8">
        <v>1.2</v>
      </c>
      <c r="D28" s="8">
        <v>1.1399999999999999</v>
      </c>
      <c r="E28" s="13">
        <f t="shared" si="0"/>
        <v>0.48076923076923073</v>
      </c>
      <c r="F28" s="8">
        <f t="shared" si="1"/>
        <v>0</v>
      </c>
      <c r="G28" s="8">
        <f t="shared" si="2"/>
        <v>6.0000000000000053E-2</v>
      </c>
      <c r="H28" s="20"/>
    </row>
    <row r="29" spans="2:8" x14ac:dyDescent="0.45">
      <c r="B29" s="4" t="s">
        <v>42</v>
      </c>
      <c r="C29" s="8">
        <v>1.2</v>
      </c>
      <c r="D29" s="8">
        <v>1.17</v>
      </c>
      <c r="E29" s="13">
        <f t="shared" si="0"/>
        <v>0.5</v>
      </c>
      <c r="F29" s="8">
        <f t="shared" si="1"/>
        <v>0</v>
      </c>
      <c r="G29" s="8">
        <f t="shared" si="2"/>
        <v>3.0000000000000027E-2</v>
      </c>
      <c r="H29" s="20"/>
    </row>
    <row r="30" spans="2:8" x14ac:dyDescent="0.45">
      <c r="B30" s="4" t="s">
        <v>6</v>
      </c>
      <c r="C30" s="8">
        <v>1.6</v>
      </c>
      <c r="D30" s="8">
        <v>1.18</v>
      </c>
      <c r="E30" s="13">
        <f t="shared" si="0"/>
        <v>0.51923076923076916</v>
      </c>
      <c r="F30" s="8">
        <f t="shared" si="1"/>
        <v>0</v>
      </c>
      <c r="G30" s="8">
        <f t="shared" si="2"/>
        <v>0.42000000000000015</v>
      </c>
      <c r="H30" s="20"/>
    </row>
    <row r="31" spans="2:8" x14ac:dyDescent="0.45">
      <c r="B31" s="4" t="s">
        <v>45</v>
      </c>
      <c r="C31" s="8">
        <v>1.4</v>
      </c>
      <c r="D31" s="8">
        <v>1.19</v>
      </c>
      <c r="E31" s="13">
        <f t="shared" si="0"/>
        <v>0.53846153846153844</v>
      </c>
      <c r="F31" s="8">
        <f t="shared" si="1"/>
        <v>0</v>
      </c>
      <c r="G31" s="8">
        <f t="shared" si="2"/>
        <v>0.20999999999999996</v>
      </c>
      <c r="H31" s="20"/>
    </row>
    <row r="32" spans="2:8" x14ac:dyDescent="0.45">
      <c r="B32" s="4" t="s">
        <v>29</v>
      </c>
      <c r="C32" s="8">
        <v>1.3</v>
      </c>
      <c r="D32" s="8">
        <v>1.19</v>
      </c>
      <c r="E32" s="13">
        <f t="shared" si="0"/>
        <v>0.55769230769230771</v>
      </c>
      <c r="F32" s="8">
        <f t="shared" si="1"/>
        <v>0</v>
      </c>
      <c r="G32" s="8">
        <f t="shared" si="2"/>
        <v>0.1100000000000001</v>
      </c>
      <c r="H32" s="20"/>
    </row>
    <row r="33" spans="2:10" x14ac:dyDescent="0.45">
      <c r="B33" s="4" t="s">
        <v>26</v>
      </c>
      <c r="C33" s="8">
        <v>1.1000000000000001</v>
      </c>
      <c r="D33" s="8">
        <v>1.21</v>
      </c>
      <c r="E33" s="13">
        <f t="shared" si="0"/>
        <v>0.57692307692307687</v>
      </c>
      <c r="F33" s="8">
        <f t="shared" si="1"/>
        <v>0.10999999999999988</v>
      </c>
      <c r="G33" s="8">
        <f t="shared" si="2"/>
        <v>0</v>
      </c>
      <c r="H33" s="20"/>
    </row>
    <row r="34" spans="2:10" x14ac:dyDescent="0.45">
      <c r="B34" s="4" t="s">
        <v>5</v>
      </c>
      <c r="C34" s="8">
        <v>1.5</v>
      </c>
      <c r="D34" s="8">
        <v>1.23</v>
      </c>
      <c r="E34" s="13">
        <f t="shared" si="0"/>
        <v>0.59615384615384615</v>
      </c>
      <c r="F34" s="8">
        <f t="shared" si="1"/>
        <v>0</v>
      </c>
      <c r="G34" s="8">
        <f t="shared" si="2"/>
        <v>0.27</v>
      </c>
      <c r="H34" s="20"/>
    </row>
    <row r="35" spans="2:10" x14ac:dyDescent="0.45">
      <c r="B35" s="4" t="s">
        <v>15</v>
      </c>
      <c r="C35" s="8">
        <v>1.4</v>
      </c>
      <c r="D35" s="8">
        <v>1.23</v>
      </c>
      <c r="E35" s="13">
        <f t="shared" si="0"/>
        <v>0.61538461538461542</v>
      </c>
      <c r="F35" s="8">
        <f t="shared" si="1"/>
        <v>0</v>
      </c>
      <c r="G35" s="8">
        <f t="shared" si="2"/>
        <v>0.16999999999999993</v>
      </c>
      <c r="H35" s="20"/>
    </row>
    <row r="36" spans="2:10" x14ac:dyDescent="0.45">
      <c r="B36" s="4" t="s">
        <v>13</v>
      </c>
      <c r="C36" s="8">
        <v>1.7</v>
      </c>
      <c r="D36" s="8">
        <v>1.24</v>
      </c>
      <c r="E36" s="13">
        <f t="shared" si="0"/>
        <v>0.63461538461538458</v>
      </c>
      <c r="F36" s="8">
        <f t="shared" si="1"/>
        <v>0</v>
      </c>
      <c r="G36" s="8">
        <f t="shared" si="2"/>
        <v>0.45999999999999996</v>
      </c>
      <c r="H36" s="20"/>
    </row>
    <row r="37" spans="2:10" x14ac:dyDescent="0.45">
      <c r="B37" s="4" t="s">
        <v>43</v>
      </c>
      <c r="C37" s="8">
        <v>1.6</v>
      </c>
      <c r="D37" s="8">
        <v>1.26</v>
      </c>
      <c r="E37" s="13">
        <f t="shared" si="0"/>
        <v>0.65384615384615385</v>
      </c>
      <c r="F37" s="8">
        <f t="shared" si="1"/>
        <v>0</v>
      </c>
      <c r="G37" s="8">
        <f t="shared" si="2"/>
        <v>0.34000000000000008</v>
      </c>
      <c r="H37" s="20"/>
    </row>
    <row r="38" spans="2:10" x14ac:dyDescent="0.45">
      <c r="B38" s="4" t="s">
        <v>35</v>
      </c>
      <c r="C38" s="8">
        <v>1.5</v>
      </c>
      <c r="D38" s="8">
        <v>1.28</v>
      </c>
      <c r="E38" s="13">
        <f t="shared" si="0"/>
        <v>0.67307692307692313</v>
      </c>
      <c r="F38" s="8">
        <f t="shared" si="1"/>
        <v>0</v>
      </c>
      <c r="G38" s="8">
        <f t="shared" si="2"/>
        <v>0.21999999999999997</v>
      </c>
      <c r="H38" s="20"/>
    </row>
    <row r="39" spans="2:10" x14ac:dyDescent="0.45">
      <c r="B39" s="4" t="s">
        <v>22</v>
      </c>
      <c r="C39" s="8">
        <v>1.6</v>
      </c>
      <c r="D39" s="8">
        <v>1.33</v>
      </c>
      <c r="E39" s="13">
        <f t="shared" si="0"/>
        <v>0.69230769230769229</v>
      </c>
      <c r="F39" s="8">
        <f t="shared" si="1"/>
        <v>0</v>
      </c>
      <c r="G39" s="8">
        <f t="shared" si="2"/>
        <v>0.27</v>
      </c>
      <c r="H39" s="20"/>
    </row>
    <row r="40" spans="2:10" x14ac:dyDescent="0.45">
      <c r="B40" s="4" t="s">
        <v>16</v>
      </c>
      <c r="C40" s="8">
        <v>1.8</v>
      </c>
      <c r="D40" s="8">
        <v>1.34</v>
      </c>
      <c r="E40" s="13">
        <f t="shared" si="0"/>
        <v>0.71153846153846156</v>
      </c>
      <c r="F40" s="8">
        <f t="shared" si="1"/>
        <v>0</v>
      </c>
      <c r="G40" s="8">
        <f t="shared" si="2"/>
        <v>0.45999999999999996</v>
      </c>
      <c r="H40" s="20"/>
    </row>
    <row r="41" spans="2:10" x14ac:dyDescent="0.45">
      <c r="B41" s="4" t="s">
        <v>44</v>
      </c>
      <c r="C41" s="8">
        <v>1.6</v>
      </c>
      <c r="D41" s="8">
        <v>1.34</v>
      </c>
      <c r="E41" s="13">
        <f t="shared" si="0"/>
        <v>0.73076923076923084</v>
      </c>
      <c r="F41" s="8">
        <f t="shared" si="1"/>
        <v>0</v>
      </c>
      <c r="G41" s="8">
        <f t="shared" si="2"/>
        <v>0.26</v>
      </c>
      <c r="H41" s="20"/>
    </row>
    <row r="42" spans="2:10" x14ac:dyDescent="0.45">
      <c r="B42" s="4" t="s">
        <v>2</v>
      </c>
      <c r="C42" s="8">
        <v>1.4</v>
      </c>
      <c r="D42" s="8">
        <v>1.37</v>
      </c>
      <c r="E42" s="13">
        <f t="shared" si="0"/>
        <v>0.75</v>
      </c>
      <c r="F42" s="8">
        <f t="shared" si="1"/>
        <v>0</v>
      </c>
      <c r="G42" s="8">
        <f t="shared" si="2"/>
        <v>2.9999999999999805E-2</v>
      </c>
      <c r="H42" s="20"/>
    </row>
    <row r="43" spans="2:10" x14ac:dyDescent="0.45">
      <c r="B43" s="4" t="s">
        <v>4</v>
      </c>
      <c r="C43" s="8">
        <v>1.6</v>
      </c>
      <c r="D43" s="8">
        <v>1.42</v>
      </c>
      <c r="E43" s="13">
        <f t="shared" si="0"/>
        <v>0.76923076923076916</v>
      </c>
      <c r="F43" s="8">
        <f t="shared" si="1"/>
        <v>0</v>
      </c>
      <c r="G43" s="8">
        <f t="shared" si="2"/>
        <v>0.18000000000000016</v>
      </c>
      <c r="H43" s="20"/>
    </row>
    <row r="44" spans="2:10" x14ac:dyDescent="0.45">
      <c r="B44" s="4" t="s">
        <v>41</v>
      </c>
      <c r="C44" s="8">
        <v>1.6</v>
      </c>
      <c r="D44" s="8">
        <v>1.42</v>
      </c>
      <c r="E44" s="13">
        <f t="shared" si="0"/>
        <v>0.78846153846153844</v>
      </c>
      <c r="F44" s="8">
        <f t="shared" si="1"/>
        <v>0</v>
      </c>
      <c r="G44" s="8">
        <f t="shared" si="2"/>
        <v>0.18000000000000016</v>
      </c>
      <c r="H44" s="20"/>
      <c r="J44" s="17" t="s">
        <v>53</v>
      </c>
    </row>
    <row r="45" spans="2:10" x14ac:dyDescent="0.45">
      <c r="B45" s="4" t="s">
        <v>49</v>
      </c>
      <c r="C45" s="8">
        <v>1.6</v>
      </c>
      <c r="D45" s="8">
        <v>1.43</v>
      </c>
      <c r="E45" s="13">
        <f t="shared" si="0"/>
        <v>0.80769230769230771</v>
      </c>
      <c r="F45" s="8">
        <f t="shared" si="1"/>
        <v>0</v>
      </c>
      <c r="G45" s="8">
        <f t="shared" si="2"/>
        <v>0.17000000000000015</v>
      </c>
      <c r="H45" s="20"/>
    </row>
    <row r="46" spans="2:10" x14ac:dyDescent="0.45">
      <c r="B46" s="4" t="s">
        <v>31</v>
      </c>
      <c r="C46" s="8">
        <v>1.4</v>
      </c>
      <c r="D46" s="8">
        <v>1.43</v>
      </c>
      <c r="E46" s="13">
        <f t="shared" si="0"/>
        <v>0.82692307692307687</v>
      </c>
      <c r="F46" s="8">
        <f t="shared" si="1"/>
        <v>3.0000000000000027E-2</v>
      </c>
      <c r="G46" s="8">
        <f t="shared" si="2"/>
        <v>0</v>
      </c>
      <c r="H46" s="20"/>
    </row>
    <row r="47" spans="2:10" x14ac:dyDescent="0.45">
      <c r="B47" s="4" t="s">
        <v>27</v>
      </c>
      <c r="C47" s="8">
        <v>2</v>
      </c>
      <c r="D47" s="8">
        <v>1.44</v>
      </c>
      <c r="E47" s="13">
        <f t="shared" si="0"/>
        <v>0.84615384615384615</v>
      </c>
      <c r="F47" s="8">
        <f t="shared" si="1"/>
        <v>0</v>
      </c>
      <c r="G47" s="8">
        <f t="shared" si="2"/>
        <v>0.56000000000000005</v>
      </c>
      <c r="H47" s="20"/>
    </row>
    <row r="48" spans="2:10" x14ac:dyDescent="0.45">
      <c r="B48" s="4" t="s">
        <v>40</v>
      </c>
      <c r="C48" s="8">
        <v>2.5</v>
      </c>
      <c r="D48" s="8">
        <v>1.47</v>
      </c>
      <c r="E48" s="13">
        <f t="shared" si="0"/>
        <v>0.86538461538461542</v>
      </c>
      <c r="F48" s="8">
        <f t="shared" si="1"/>
        <v>0</v>
      </c>
      <c r="G48" s="8">
        <f t="shared" si="2"/>
        <v>1.03</v>
      </c>
      <c r="H48" s="20"/>
    </row>
    <row r="49" spans="2:8" x14ac:dyDescent="0.45">
      <c r="B49" s="4" t="s">
        <v>14</v>
      </c>
      <c r="C49" s="8">
        <v>1.7</v>
      </c>
      <c r="D49" s="8">
        <v>1.53</v>
      </c>
      <c r="E49" s="13">
        <f t="shared" si="0"/>
        <v>0.88461538461538458</v>
      </c>
      <c r="F49" s="8">
        <f t="shared" si="1"/>
        <v>0</v>
      </c>
      <c r="G49" s="8">
        <f t="shared" si="2"/>
        <v>0.16999999999999993</v>
      </c>
      <c r="H49" s="20"/>
    </row>
    <row r="50" spans="2:8" x14ac:dyDescent="0.45">
      <c r="B50" s="4" t="s">
        <v>20</v>
      </c>
      <c r="C50" s="8">
        <v>2.2000000000000002</v>
      </c>
      <c r="D50" s="8">
        <v>1.56</v>
      </c>
      <c r="E50" s="13">
        <f t="shared" si="0"/>
        <v>0.90384615384615385</v>
      </c>
      <c r="F50" s="8">
        <f t="shared" si="1"/>
        <v>0</v>
      </c>
      <c r="G50" s="8">
        <f t="shared" si="2"/>
        <v>0.64000000000000012</v>
      </c>
      <c r="H50" s="20"/>
    </row>
    <row r="51" spans="2:8" x14ac:dyDescent="0.45">
      <c r="B51" s="4" t="s">
        <v>18</v>
      </c>
      <c r="C51" s="8">
        <v>1.8</v>
      </c>
      <c r="D51" s="8">
        <v>1.59</v>
      </c>
      <c r="E51" s="13">
        <f t="shared" si="0"/>
        <v>0.92307692307692313</v>
      </c>
      <c r="F51" s="8">
        <f t="shared" si="1"/>
        <v>0</v>
      </c>
      <c r="G51" s="8">
        <f t="shared" si="2"/>
        <v>0.20999999999999996</v>
      </c>
      <c r="H51" s="20"/>
    </row>
    <row r="52" spans="2:8" x14ac:dyDescent="0.45">
      <c r="B52" s="4" t="s">
        <v>37</v>
      </c>
      <c r="C52" s="8">
        <v>2.1</v>
      </c>
      <c r="D52" s="8">
        <v>1.59</v>
      </c>
      <c r="E52" s="13">
        <f t="shared" si="0"/>
        <v>0.94230769230769229</v>
      </c>
      <c r="F52" s="8">
        <f t="shared" si="1"/>
        <v>0</v>
      </c>
      <c r="G52" s="8">
        <f t="shared" si="2"/>
        <v>0.51</v>
      </c>
      <c r="H52" s="20"/>
    </row>
    <row r="53" spans="2:8" x14ac:dyDescent="0.45">
      <c r="B53" s="4" t="s">
        <v>21</v>
      </c>
      <c r="C53" s="8">
        <v>2</v>
      </c>
      <c r="D53" s="8">
        <v>1.68</v>
      </c>
      <c r="E53" s="13">
        <f t="shared" si="0"/>
        <v>0.96153846153846156</v>
      </c>
      <c r="F53" s="8">
        <f t="shared" si="1"/>
        <v>0</v>
      </c>
      <c r="G53" s="8">
        <f t="shared" si="2"/>
        <v>0.32000000000000006</v>
      </c>
      <c r="H53" s="20"/>
    </row>
    <row r="54" spans="2:8" x14ac:dyDescent="0.45">
      <c r="B54" s="4" t="s">
        <v>11</v>
      </c>
      <c r="C54" s="8">
        <v>2.1</v>
      </c>
      <c r="D54" s="8">
        <v>1.78</v>
      </c>
      <c r="E54" s="13">
        <f t="shared" si="0"/>
        <v>0.98076923076923073</v>
      </c>
      <c r="F54" s="8">
        <f t="shared" si="1"/>
        <v>0</v>
      </c>
      <c r="G54" s="8">
        <f t="shared" si="2"/>
        <v>0.32000000000000006</v>
      </c>
      <c r="H54" s="20"/>
    </row>
    <row r="55" spans="2:8" x14ac:dyDescent="0.45">
      <c r="B55" s="5"/>
      <c r="C55" s="9"/>
      <c r="D55" s="9"/>
      <c r="E55" s="14">
        <f t="shared" si="0"/>
        <v>1</v>
      </c>
      <c r="F55" s="9">
        <f t="shared" si="1"/>
        <v>0</v>
      </c>
      <c r="G55" s="9">
        <f t="shared" si="2"/>
        <v>0</v>
      </c>
      <c r="H55" s="20"/>
    </row>
    <row r="56" spans="2:8" x14ac:dyDescent="0.45">
      <c r="B56" s="10" t="s">
        <v>53</v>
      </c>
      <c r="C56" s="11"/>
      <c r="D56" s="11"/>
      <c r="E56" s="11"/>
      <c r="F56" s="11"/>
      <c r="G56" s="11"/>
      <c r="H56" s="18"/>
    </row>
  </sheetData>
  <pageMargins left="0.7" right="0.7" top="0.75" bottom="0.75" header="0.3" footer="0.3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F1E8-EF07-499B-9BD4-492D7A523C45}">
  <dimension ref="B1:J56"/>
  <sheetViews>
    <sheetView showGridLines="0" topLeftCell="G1" zoomScaleNormal="100" workbookViewId="0">
      <selection activeCell="I1" sqref="I1"/>
    </sheetView>
  </sheetViews>
  <sheetFormatPr defaultRowHeight="14.25" x14ac:dyDescent="0.45"/>
  <cols>
    <col min="1" max="1" width="2.265625" customWidth="1"/>
    <col min="2" max="2" width="29.9296875" customWidth="1"/>
    <col min="3" max="4" width="10.265625" customWidth="1"/>
    <col min="5" max="5" width="8.06640625" customWidth="1"/>
    <col min="6" max="7" width="10.265625" customWidth="1"/>
    <col min="8" max="8" width="8.06640625" customWidth="1"/>
  </cols>
  <sheetData>
    <row r="1" spans="2:10" ht="15.4" x14ac:dyDescent="0.45">
      <c r="B1" s="2" t="s">
        <v>55</v>
      </c>
      <c r="C1" s="1"/>
      <c r="D1" s="1"/>
      <c r="E1" s="1"/>
      <c r="F1" s="1"/>
      <c r="G1" s="1"/>
      <c r="H1" s="18"/>
      <c r="J1" s="15" t="s">
        <v>54</v>
      </c>
    </row>
    <row r="2" spans="2:10" x14ac:dyDescent="0.45">
      <c r="B2" s="2" t="s">
        <v>1</v>
      </c>
      <c r="C2" s="6">
        <v>2007</v>
      </c>
      <c r="D2" s="6">
        <v>2017</v>
      </c>
      <c r="E2" s="6" t="s">
        <v>0</v>
      </c>
      <c r="F2" s="6" t="s">
        <v>57</v>
      </c>
      <c r="G2" s="21" t="s">
        <v>58</v>
      </c>
      <c r="H2" s="19"/>
      <c r="J2" s="16" t="s">
        <v>56</v>
      </c>
    </row>
    <row r="3" spans="2:10" x14ac:dyDescent="0.45">
      <c r="B3" s="3"/>
      <c r="C3" s="7"/>
      <c r="D3" s="7"/>
      <c r="E3" s="12">
        <f xml:space="preserve"> 1 - (ROWS($B$3:$B$55) - ROW() + ROW($B$2)) / (ROWS($B$3:$B$55) - 1)</f>
        <v>0</v>
      </c>
      <c r="F3" s="7">
        <f xml:space="preserve"> IF((D3 - C3) &gt;  0,(D3 - C3),0)</f>
        <v>0</v>
      </c>
      <c r="G3" s="7">
        <f xml:space="preserve"> IF((D3 - C3) &lt;  0,-(D3 - C3),0)</f>
        <v>0</v>
      </c>
      <c r="H3" s="20"/>
    </row>
    <row r="4" spans="2:10" x14ac:dyDescent="0.45">
      <c r="B4" s="4" t="s">
        <v>34</v>
      </c>
      <c r="C4" s="8">
        <v>0.8</v>
      </c>
      <c r="D4" s="8">
        <v>0.55000000000000004</v>
      </c>
      <c r="E4" s="13">
        <f t="shared" ref="E4:E55" si="0" xml:space="preserve"> 1 - (ROWS($B$3:$B$55) - ROW() + ROW($B$2)) / (ROWS($B$3:$B$55) - 1)</f>
        <v>1.9230769230769273E-2</v>
      </c>
      <c r="F4" s="8">
        <f t="shared" ref="F4:F55" si="1" xml:space="preserve"> IF((D4 - C4) &gt;  0,(D4 - C4),0)</f>
        <v>0</v>
      </c>
      <c r="G4" s="8">
        <f t="shared" ref="G4:G55" si="2" xml:space="preserve"> IF((D4 - C4) &lt;  0,-(D4 - C4),0)</f>
        <v>0.25</v>
      </c>
      <c r="H4" s="20"/>
    </row>
    <row r="5" spans="2:10" x14ac:dyDescent="0.45">
      <c r="B5" s="4" t="s">
        <v>30</v>
      </c>
      <c r="C5" s="8">
        <v>0.9</v>
      </c>
      <c r="D5" s="8">
        <v>0.6</v>
      </c>
      <c r="E5" s="13">
        <f t="shared" si="0"/>
        <v>3.8461538461538436E-2</v>
      </c>
      <c r="F5" s="8">
        <f t="shared" si="1"/>
        <v>0</v>
      </c>
      <c r="G5" s="8">
        <f t="shared" si="2"/>
        <v>0.30000000000000004</v>
      </c>
      <c r="H5" s="20"/>
    </row>
    <row r="6" spans="2:10" x14ac:dyDescent="0.45">
      <c r="B6" s="4" t="s">
        <v>47</v>
      </c>
      <c r="C6" s="8">
        <v>1</v>
      </c>
      <c r="D6" s="8">
        <v>0.75</v>
      </c>
      <c r="E6" s="13">
        <f t="shared" si="0"/>
        <v>5.7692307692307709E-2</v>
      </c>
      <c r="F6" s="8">
        <f t="shared" si="1"/>
        <v>0</v>
      </c>
      <c r="G6" s="8">
        <f t="shared" si="2"/>
        <v>0.25</v>
      </c>
      <c r="H6" s="20"/>
    </row>
    <row r="7" spans="2:10" x14ac:dyDescent="0.45">
      <c r="B7" s="4" t="s">
        <v>25</v>
      </c>
      <c r="C7" s="8">
        <v>1</v>
      </c>
      <c r="D7" s="8">
        <v>0.81</v>
      </c>
      <c r="E7" s="13">
        <f t="shared" si="0"/>
        <v>7.6923076923076872E-2</v>
      </c>
      <c r="F7" s="8">
        <f t="shared" si="1"/>
        <v>0</v>
      </c>
      <c r="G7" s="8">
        <f t="shared" si="2"/>
        <v>0.18999999999999995</v>
      </c>
      <c r="H7" s="20"/>
    </row>
    <row r="8" spans="2:10" x14ac:dyDescent="0.45">
      <c r="B8" s="4" t="s">
        <v>8</v>
      </c>
      <c r="C8" s="8">
        <v>1</v>
      </c>
      <c r="D8" s="8">
        <v>0.81</v>
      </c>
      <c r="E8" s="13">
        <f t="shared" si="0"/>
        <v>9.6153846153846145E-2</v>
      </c>
      <c r="F8" s="8">
        <f t="shared" si="1"/>
        <v>0</v>
      </c>
      <c r="G8" s="8">
        <f t="shared" si="2"/>
        <v>0.18999999999999995</v>
      </c>
      <c r="H8" s="20"/>
    </row>
    <row r="9" spans="2:10" x14ac:dyDescent="0.45">
      <c r="B9" s="4" t="s">
        <v>52</v>
      </c>
      <c r="C9" s="8">
        <v>1.2</v>
      </c>
      <c r="D9" s="8">
        <v>0.83</v>
      </c>
      <c r="E9" s="13">
        <f t="shared" si="0"/>
        <v>0.11538461538461542</v>
      </c>
      <c r="F9" s="8">
        <f t="shared" si="1"/>
        <v>0</v>
      </c>
      <c r="G9" s="8">
        <f t="shared" si="2"/>
        <v>0.37</v>
      </c>
      <c r="H9" s="20"/>
    </row>
    <row r="10" spans="2:10" x14ac:dyDescent="0.45">
      <c r="B10" s="4" t="s">
        <v>36</v>
      </c>
      <c r="C10" s="8">
        <v>1.1000000000000001</v>
      </c>
      <c r="D10" s="8">
        <v>0.87</v>
      </c>
      <c r="E10" s="13">
        <f t="shared" si="0"/>
        <v>0.13461538461538458</v>
      </c>
      <c r="F10" s="8">
        <f t="shared" si="1"/>
        <v>0</v>
      </c>
      <c r="G10" s="8">
        <f t="shared" si="2"/>
        <v>0.23000000000000009</v>
      </c>
      <c r="H10" s="20"/>
    </row>
    <row r="11" spans="2:10" x14ac:dyDescent="0.45">
      <c r="B11" s="4" t="s">
        <v>38</v>
      </c>
      <c r="C11" s="8">
        <v>0.9</v>
      </c>
      <c r="D11" s="8">
        <v>0.89</v>
      </c>
      <c r="E11" s="13">
        <f t="shared" si="0"/>
        <v>0.15384615384615385</v>
      </c>
      <c r="F11" s="8">
        <f t="shared" si="1"/>
        <v>0</v>
      </c>
      <c r="G11" s="8">
        <f t="shared" si="2"/>
        <v>1.0000000000000009E-2</v>
      </c>
      <c r="H11" s="20"/>
    </row>
    <row r="12" spans="2:10" x14ac:dyDescent="0.45">
      <c r="B12" s="4" t="s">
        <v>23</v>
      </c>
      <c r="C12" s="8">
        <v>1</v>
      </c>
      <c r="D12" s="8">
        <v>0.92</v>
      </c>
      <c r="E12" s="13">
        <f t="shared" si="0"/>
        <v>0.17307692307692313</v>
      </c>
      <c r="F12" s="8">
        <f t="shared" si="1"/>
        <v>0</v>
      </c>
      <c r="G12" s="8">
        <f t="shared" si="2"/>
        <v>7.999999999999996E-2</v>
      </c>
      <c r="H12" s="20"/>
    </row>
    <row r="13" spans="2:10" x14ac:dyDescent="0.45">
      <c r="B13" s="4" t="s">
        <v>28</v>
      </c>
      <c r="C13" s="8">
        <v>1.1000000000000001</v>
      </c>
      <c r="D13" s="8">
        <v>0.93</v>
      </c>
      <c r="E13" s="13">
        <f t="shared" si="0"/>
        <v>0.19230769230769229</v>
      </c>
      <c r="F13" s="8">
        <f t="shared" si="1"/>
        <v>0</v>
      </c>
      <c r="G13" s="8">
        <f t="shared" si="2"/>
        <v>0.17000000000000004</v>
      </c>
      <c r="H13" s="20"/>
    </row>
    <row r="14" spans="2:10" x14ac:dyDescent="0.45">
      <c r="B14" s="4" t="s">
        <v>50</v>
      </c>
      <c r="C14" s="8">
        <v>0.9</v>
      </c>
      <c r="D14" s="8">
        <v>0.93</v>
      </c>
      <c r="E14" s="13">
        <f t="shared" si="0"/>
        <v>0.21153846153846156</v>
      </c>
      <c r="F14" s="8">
        <f t="shared" si="1"/>
        <v>3.0000000000000027E-2</v>
      </c>
      <c r="G14" s="8">
        <f t="shared" si="2"/>
        <v>0</v>
      </c>
      <c r="H14" s="20"/>
    </row>
    <row r="15" spans="2:10" x14ac:dyDescent="0.45">
      <c r="B15" s="4" t="s">
        <v>24</v>
      </c>
      <c r="C15" s="8">
        <v>1.3</v>
      </c>
      <c r="D15" s="8">
        <v>0.94</v>
      </c>
      <c r="E15" s="13">
        <f t="shared" si="0"/>
        <v>0.23076923076923073</v>
      </c>
      <c r="F15" s="8">
        <f t="shared" si="1"/>
        <v>0</v>
      </c>
      <c r="G15" s="8">
        <f t="shared" si="2"/>
        <v>0.3600000000000001</v>
      </c>
      <c r="H15" s="20"/>
    </row>
    <row r="16" spans="2:10" x14ac:dyDescent="0.45">
      <c r="B16" s="4" t="s">
        <v>19</v>
      </c>
      <c r="C16" s="8">
        <v>1.3</v>
      </c>
      <c r="D16" s="8">
        <v>0.98</v>
      </c>
      <c r="E16" s="13">
        <f t="shared" si="0"/>
        <v>0.25</v>
      </c>
      <c r="F16" s="8">
        <f t="shared" si="1"/>
        <v>0</v>
      </c>
      <c r="G16" s="8">
        <f t="shared" si="2"/>
        <v>0.32000000000000006</v>
      </c>
      <c r="H16" s="20"/>
    </row>
    <row r="17" spans="2:8" x14ac:dyDescent="0.45">
      <c r="B17" s="4" t="s">
        <v>33</v>
      </c>
      <c r="C17" s="8">
        <v>1.4</v>
      </c>
      <c r="D17" s="8">
        <v>0.99</v>
      </c>
      <c r="E17" s="13">
        <f t="shared" si="0"/>
        <v>0.26923076923076927</v>
      </c>
      <c r="F17" s="8">
        <f t="shared" si="1"/>
        <v>0</v>
      </c>
      <c r="G17" s="8">
        <f t="shared" si="2"/>
        <v>0.40999999999999992</v>
      </c>
      <c r="H17" s="20"/>
    </row>
    <row r="18" spans="2:8" x14ac:dyDescent="0.45">
      <c r="B18" s="4" t="s">
        <v>9</v>
      </c>
      <c r="C18" s="8">
        <v>1.1000000000000001</v>
      </c>
      <c r="D18" s="8">
        <v>0.99</v>
      </c>
      <c r="E18" s="13">
        <f t="shared" si="0"/>
        <v>0.28846153846153844</v>
      </c>
      <c r="F18" s="8">
        <f t="shared" si="1"/>
        <v>0</v>
      </c>
      <c r="G18" s="8">
        <f t="shared" si="2"/>
        <v>0.1100000000000001</v>
      </c>
      <c r="H18" s="20"/>
    </row>
    <row r="19" spans="2:8" x14ac:dyDescent="0.45">
      <c r="B19" s="4" t="s">
        <v>48</v>
      </c>
      <c r="C19" s="8">
        <v>1.3</v>
      </c>
      <c r="D19" s="8">
        <v>1</v>
      </c>
      <c r="E19" s="13">
        <f t="shared" si="0"/>
        <v>0.30769230769230771</v>
      </c>
      <c r="F19" s="8">
        <f t="shared" si="1"/>
        <v>0</v>
      </c>
      <c r="G19" s="8">
        <f t="shared" si="2"/>
        <v>0.30000000000000004</v>
      </c>
      <c r="H19" s="20"/>
    </row>
    <row r="20" spans="2:8" x14ac:dyDescent="0.45">
      <c r="B20" s="4" t="s">
        <v>10</v>
      </c>
      <c r="C20" s="8">
        <v>1.2</v>
      </c>
      <c r="D20" s="8">
        <v>1.01</v>
      </c>
      <c r="E20" s="13">
        <f t="shared" si="0"/>
        <v>0.32692307692307687</v>
      </c>
      <c r="F20" s="8">
        <f t="shared" si="1"/>
        <v>0</v>
      </c>
      <c r="G20" s="8">
        <f t="shared" si="2"/>
        <v>0.18999999999999995</v>
      </c>
      <c r="H20" s="20"/>
    </row>
    <row r="21" spans="2:8" x14ac:dyDescent="0.45">
      <c r="B21" s="4" t="s">
        <v>12</v>
      </c>
      <c r="C21" s="8">
        <v>1</v>
      </c>
      <c r="D21" s="8">
        <v>1.01</v>
      </c>
      <c r="E21" s="13">
        <f t="shared" si="0"/>
        <v>0.34615384615384615</v>
      </c>
      <c r="F21" s="8">
        <f t="shared" si="1"/>
        <v>1.0000000000000009E-2</v>
      </c>
      <c r="G21" s="8">
        <f t="shared" si="2"/>
        <v>0</v>
      </c>
      <c r="H21" s="20"/>
    </row>
    <row r="22" spans="2:8" x14ac:dyDescent="0.45">
      <c r="B22" s="4" t="s">
        <v>51</v>
      </c>
      <c r="C22" s="8">
        <v>0.8</v>
      </c>
      <c r="D22" s="8">
        <v>1.05</v>
      </c>
      <c r="E22" s="13">
        <f t="shared" si="0"/>
        <v>0.36538461538461542</v>
      </c>
      <c r="F22" s="8">
        <f t="shared" si="1"/>
        <v>0.25</v>
      </c>
      <c r="G22" s="8">
        <f t="shared" si="2"/>
        <v>0</v>
      </c>
      <c r="H22" s="20"/>
    </row>
    <row r="23" spans="2:8" x14ac:dyDescent="0.45">
      <c r="B23" s="4" t="s">
        <v>39</v>
      </c>
      <c r="C23" s="8">
        <v>1.3</v>
      </c>
      <c r="D23" s="8">
        <v>1.0900000000000001</v>
      </c>
      <c r="E23" s="13">
        <f t="shared" si="0"/>
        <v>0.38461538461538458</v>
      </c>
      <c r="F23" s="8">
        <f t="shared" si="1"/>
        <v>0</v>
      </c>
      <c r="G23" s="8">
        <f t="shared" si="2"/>
        <v>0.20999999999999996</v>
      </c>
      <c r="H23" s="20"/>
    </row>
    <row r="24" spans="2:8" x14ac:dyDescent="0.45">
      <c r="B24" s="4" t="s">
        <v>17</v>
      </c>
      <c r="C24" s="8">
        <v>1.2</v>
      </c>
      <c r="D24" s="8">
        <v>1.1200000000000001</v>
      </c>
      <c r="E24" s="13">
        <f t="shared" si="0"/>
        <v>0.40384615384615385</v>
      </c>
      <c r="F24" s="8">
        <f t="shared" si="1"/>
        <v>0</v>
      </c>
      <c r="G24" s="8">
        <f t="shared" si="2"/>
        <v>7.9999999999999849E-2</v>
      </c>
      <c r="H24" s="20"/>
    </row>
    <row r="25" spans="2:8" x14ac:dyDescent="0.45">
      <c r="B25" s="4" t="s">
        <v>7</v>
      </c>
      <c r="C25" s="8">
        <v>1.4</v>
      </c>
      <c r="D25" s="8">
        <v>1.1200000000000001</v>
      </c>
      <c r="E25" s="13">
        <f t="shared" si="0"/>
        <v>0.42307692307692313</v>
      </c>
      <c r="F25" s="8">
        <f t="shared" si="1"/>
        <v>0</v>
      </c>
      <c r="G25" s="8">
        <f t="shared" si="2"/>
        <v>0.2799999999999998</v>
      </c>
      <c r="H25" s="20"/>
    </row>
    <row r="26" spans="2:8" x14ac:dyDescent="0.45">
      <c r="B26" s="4" t="s">
        <v>3</v>
      </c>
      <c r="C26" s="8">
        <v>1.2</v>
      </c>
      <c r="D26" s="8">
        <v>1.1299999999999999</v>
      </c>
      <c r="E26" s="13">
        <f t="shared" si="0"/>
        <v>0.44230769230769229</v>
      </c>
      <c r="F26" s="8">
        <f t="shared" si="1"/>
        <v>0</v>
      </c>
      <c r="G26" s="8">
        <f t="shared" si="2"/>
        <v>7.0000000000000062E-2</v>
      </c>
      <c r="H26" s="20"/>
    </row>
    <row r="27" spans="2:8" x14ac:dyDescent="0.45">
      <c r="B27" s="4" t="s">
        <v>32</v>
      </c>
      <c r="C27" s="8">
        <v>1.7</v>
      </c>
      <c r="D27" s="8">
        <v>1.1299999999999999</v>
      </c>
      <c r="E27" s="13">
        <f t="shared" si="0"/>
        <v>0.46153846153846156</v>
      </c>
      <c r="F27" s="8">
        <f t="shared" si="1"/>
        <v>0</v>
      </c>
      <c r="G27" s="8">
        <f t="shared" si="2"/>
        <v>0.57000000000000006</v>
      </c>
      <c r="H27" s="20"/>
    </row>
    <row r="28" spans="2:8" x14ac:dyDescent="0.45">
      <c r="B28" s="4" t="s">
        <v>46</v>
      </c>
      <c r="C28" s="8">
        <v>1.2</v>
      </c>
      <c r="D28" s="8">
        <v>1.1399999999999999</v>
      </c>
      <c r="E28" s="13">
        <f t="shared" si="0"/>
        <v>0.48076923076923073</v>
      </c>
      <c r="F28" s="8">
        <f t="shared" si="1"/>
        <v>0</v>
      </c>
      <c r="G28" s="8">
        <f t="shared" si="2"/>
        <v>6.0000000000000053E-2</v>
      </c>
      <c r="H28" s="20"/>
    </row>
    <row r="29" spans="2:8" x14ac:dyDescent="0.45">
      <c r="B29" s="4" t="s">
        <v>42</v>
      </c>
      <c r="C29" s="8">
        <v>1.2</v>
      </c>
      <c r="D29" s="8">
        <v>1.17</v>
      </c>
      <c r="E29" s="13">
        <f t="shared" si="0"/>
        <v>0.5</v>
      </c>
      <c r="F29" s="8">
        <f t="shared" si="1"/>
        <v>0</v>
      </c>
      <c r="G29" s="8">
        <f t="shared" si="2"/>
        <v>3.0000000000000027E-2</v>
      </c>
      <c r="H29" s="20"/>
    </row>
    <row r="30" spans="2:8" x14ac:dyDescent="0.45">
      <c r="B30" s="4" t="s">
        <v>6</v>
      </c>
      <c r="C30" s="8">
        <v>1.6</v>
      </c>
      <c r="D30" s="8">
        <v>1.18</v>
      </c>
      <c r="E30" s="13">
        <f t="shared" si="0"/>
        <v>0.51923076923076916</v>
      </c>
      <c r="F30" s="8">
        <f t="shared" si="1"/>
        <v>0</v>
      </c>
      <c r="G30" s="8">
        <f t="shared" si="2"/>
        <v>0.42000000000000015</v>
      </c>
      <c r="H30" s="20"/>
    </row>
    <row r="31" spans="2:8" x14ac:dyDescent="0.45">
      <c r="B31" s="4" t="s">
        <v>45</v>
      </c>
      <c r="C31" s="8">
        <v>1.4</v>
      </c>
      <c r="D31" s="8">
        <v>1.19</v>
      </c>
      <c r="E31" s="13">
        <f t="shared" si="0"/>
        <v>0.53846153846153844</v>
      </c>
      <c r="F31" s="8">
        <f t="shared" si="1"/>
        <v>0</v>
      </c>
      <c r="G31" s="8">
        <f t="shared" si="2"/>
        <v>0.20999999999999996</v>
      </c>
      <c r="H31" s="20"/>
    </row>
    <row r="32" spans="2:8" x14ac:dyDescent="0.45">
      <c r="B32" s="4" t="s">
        <v>29</v>
      </c>
      <c r="C32" s="8">
        <v>1.3</v>
      </c>
      <c r="D32" s="8">
        <v>1.19</v>
      </c>
      <c r="E32" s="13">
        <f t="shared" si="0"/>
        <v>0.55769230769230771</v>
      </c>
      <c r="F32" s="8">
        <f t="shared" si="1"/>
        <v>0</v>
      </c>
      <c r="G32" s="8">
        <f t="shared" si="2"/>
        <v>0.1100000000000001</v>
      </c>
      <c r="H32" s="20"/>
    </row>
    <row r="33" spans="2:10" x14ac:dyDescent="0.45">
      <c r="B33" s="4" t="s">
        <v>26</v>
      </c>
      <c r="C33" s="8">
        <v>1.1000000000000001</v>
      </c>
      <c r="D33" s="8">
        <v>1.21</v>
      </c>
      <c r="E33" s="13">
        <f t="shared" si="0"/>
        <v>0.57692307692307687</v>
      </c>
      <c r="F33" s="8">
        <f t="shared" si="1"/>
        <v>0.10999999999999988</v>
      </c>
      <c r="G33" s="8">
        <f t="shared" si="2"/>
        <v>0</v>
      </c>
      <c r="H33" s="20"/>
    </row>
    <row r="34" spans="2:10" x14ac:dyDescent="0.45">
      <c r="B34" s="4" t="s">
        <v>5</v>
      </c>
      <c r="C34" s="8">
        <v>1.5</v>
      </c>
      <c r="D34" s="8">
        <v>1.23</v>
      </c>
      <c r="E34" s="13">
        <f t="shared" si="0"/>
        <v>0.59615384615384615</v>
      </c>
      <c r="F34" s="8">
        <f t="shared" si="1"/>
        <v>0</v>
      </c>
      <c r="G34" s="8">
        <f t="shared" si="2"/>
        <v>0.27</v>
      </c>
      <c r="H34" s="20"/>
    </row>
    <row r="35" spans="2:10" x14ac:dyDescent="0.45">
      <c r="B35" s="4" t="s">
        <v>15</v>
      </c>
      <c r="C35" s="8">
        <v>1.4</v>
      </c>
      <c r="D35" s="8">
        <v>1.23</v>
      </c>
      <c r="E35" s="13">
        <f t="shared" si="0"/>
        <v>0.61538461538461542</v>
      </c>
      <c r="F35" s="8">
        <f t="shared" si="1"/>
        <v>0</v>
      </c>
      <c r="G35" s="8">
        <f t="shared" si="2"/>
        <v>0.16999999999999993</v>
      </c>
      <c r="H35" s="20"/>
    </row>
    <row r="36" spans="2:10" x14ac:dyDescent="0.45">
      <c r="B36" s="4" t="s">
        <v>13</v>
      </c>
      <c r="C36" s="8">
        <v>1.7</v>
      </c>
      <c r="D36" s="8">
        <v>1.24</v>
      </c>
      <c r="E36" s="13">
        <f t="shared" si="0"/>
        <v>0.63461538461538458</v>
      </c>
      <c r="F36" s="8">
        <f t="shared" si="1"/>
        <v>0</v>
      </c>
      <c r="G36" s="8">
        <f t="shared" si="2"/>
        <v>0.45999999999999996</v>
      </c>
      <c r="H36" s="20"/>
    </row>
    <row r="37" spans="2:10" x14ac:dyDescent="0.45">
      <c r="B37" s="4" t="s">
        <v>43</v>
      </c>
      <c r="C37" s="8">
        <v>1.6</v>
      </c>
      <c r="D37" s="8">
        <v>1.26</v>
      </c>
      <c r="E37" s="13">
        <f t="shared" si="0"/>
        <v>0.65384615384615385</v>
      </c>
      <c r="F37" s="8">
        <f t="shared" si="1"/>
        <v>0</v>
      </c>
      <c r="G37" s="8">
        <f t="shared" si="2"/>
        <v>0.34000000000000008</v>
      </c>
      <c r="H37" s="20"/>
    </row>
    <row r="38" spans="2:10" x14ac:dyDescent="0.45">
      <c r="B38" s="4" t="s">
        <v>35</v>
      </c>
      <c r="C38" s="8">
        <v>1.5</v>
      </c>
      <c r="D38" s="8">
        <v>1.28</v>
      </c>
      <c r="E38" s="13">
        <f t="shared" si="0"/>
        <v>0.67307692307692313</v>
      </c>
      <c r="F38" s="8">
        <f t="shared" si="1"/>
        <v>0</v>
      </c>
      <c r="G38" s="8">
        <f t="shared" si="2"/>
        <v>0.21999999999999997</v>
      </c>
      <c r="H38" s="20"/>
    </row>
    <row r="39" spans="2:10" x14ac:dyDescent="0.45">
      <c r="B39" s="4" t="s">
        <v>22</v>
      </c>
      <c r="C39" s="8">
        <v>1.6</v>
      </c>
      <c r="D39" s="8">
        <v>1.33</v>
      </c>
      <c r="E39" s="13">
        <f t="shared" si="0"/>
        <v>0.69230769230769229</v>
      </c>
      <c r="F39" s="8">
        <f t="shared" si="1"/>
        <v>0</v>
      </c>
      <c r="G39" s="8">
        <f t="shared" si="2"/>
        <v>0.27</v>
      </c>
      <c r="H39" s="20"/>
    </row>
    <row r="40" spans="2:10" x14ac:dyDescent="0.45">
      <c r="B40" s="4" t="s">
        <v>16</v>
      </c>
      <c r="C40" s="8">
        <v>1.8</v>
      </c>
      <c r="D40" s="8">
        <v>1.34</v>
      </c>
      <c r="E40" s="13">
        <f t="shared" si="0"/>
        <v>0.71153846153846156</v>
      </c>
      <c r="F40" s="8">
        <f t="shared" si="1"/>
        <v>0</v>
      </c>
      <c r="G40" s="8">
        <f t="shared" si="2"/>
        <v>0.45999999999999996</v>
      </c>
      <c r="H40" s="20"/>
    </row>
    <row r="41" spans="2:10" x14ac:dyDescent="0.45">
      <c r="B41" s="4" t="s">
        <v>44</v>
      </c>
      <c r="C41" s="8">
        <v>1.6</v>
      </c>
      <c r="D41" s="8">
        <v>1.34</v>
      </c>
      <c r="E41" s="13">
        <f t="shared" si="0"/>
        <v>0.73076923076923084</v>
      </c>
      <c r="F41" s="8">
        <f t="shared" si="1"/>
        <v>0</v>
      </c>
      <c r="G41" s="8">
        <f t="shared" si="2"/>
        <v>0.26</v>
      </c>
      <c r="H41" s="20"/>
    </row>
    <row r="42" spans="2:10" x14ac:dyDescent="0.45">
      <c r="B42" s="4" t="s">
        <v>2</v>
      </c>
      <c r="C42" s="8">
        <v>1.4</v>
      </c>
      <c r="D42" s="8">
        <v>1.37</v>
      </c>
      <c r="E42" s="13">
        <f t="shared" si="0"/>
        <v>0.75</v>
      </c>
      <c r="F42" s="8">
        <f t="shared" si="1"/>
        <v>0</v>
      </c>
      <c r="G42" s="8">
        <f t="shared" si="2"/>
        <v>2.9999999999999805E-2</v>
      </c>
      <c r="H42" s="20"/>
    </row>
    <row r="43" spans="2:10" x14ac:dyDescent="0.45">
      <c r="B43" s="4" t="s">
        <v>4</v>
      </c>
      <c r="C43" s="8">
        <v>1.6</v>
      </c>
      <c r="D43" s="8">
        <v>1.42</v>
      </c>
      <c r="E43" s="13">
        <f t="shared" si="0"/>
        <v>0.76923076923076916</v>
      </c>
      <c r="F43" s="8">
        <f t="shared" si="1"/>
        <v>0</v>
      </c>
      <c r="G43" s="8">
        <f t="shared" si="2"/>
        <v>0.18000000000000016</v>
      </c>
      <c r="H43" s="20"/>
    </row>
    <row r="44" spans="2:10" x14ac:dyDescent="0.45">
      <c r="B44" s="4" t="s">
        <v>41</v>
      </c>
      <c r="C44" s="8">
        <v>1.6</v>
      </c>
      <c r="D44" s="8">
        <v>1.42</v>
      </c>
      <c r="E44" s="13">
        <f t="shared" si="0"/>
        <v>0.78846153846153844</v>
      </c>
      <c r="F44" s="8">
        <f t="shared" si="1"/>
        <v>0</v>
      </c>
      <c r="G44" s="8">
        <f t="shared" si="2"/>
        <v>0.18000000000000016</v>
      </c>
      <c r="H44" s="20"/>
      <c r="J44" s="17" t="s">
        <v>53</v>
      </c>
    </row>
    <row r="45" spans="2:10" x14ac:dyDescent="0.45">
      <c r="B45" s="4" t="s">
        <v>49</v>
      </c>
      <c r="C45" s="8">
        <v>1.6</v>
      </c>
      <c r="D45" s="8">
        <v>1.43</v>
      </c>
      <c r="E45" s="13">
        <f t="shared" si="0"/>
        <v>0.80769230769230771</v>
      </c>
      <c r="F45" s="8">
        <f t="shared" si="1"/>
        <v>0</v>
      </c>
      <c r="G45" s="8">
        <f t="shared" si="2"/>
        <v>0.17000000000000015</v>
      </c>
      <c r="H45" s="20"/>
    </row>
    <row r="46" spans="2:10" x14ac:dyDescent="0.45">
      <c r="B46" s="4" t="s">
        <v>31</v>
      </c>
      <c r="C46" s="8">
        <v>1.4</v>
      </c>
      <c r="D46" s="8">
        <v>1.43</v>
      </c>
      <c r="E46" s="13">
        <f t="shared" si="0"/>
        <v>0.82692307692307687</v>
      </c>
      <c r="F46" s="8">
        <f t="shared" si="1"/>
        <v>3.0000000000000027E-2</v>
      </c>
      <c r="G46" s="8">
        <f t="shared" si="2"/>
        <v>0</v>
      </c>
      <c r="H46" s="20"/>
    </row>
    <row r="47" spans="2:10" x14ac:dyDescent="0.45">
      <c r="B47" s="4" t="s">
        <v>27</v>
      </c>
      <c r="C47" s="8">
        <v>2</v>
      </c>
      <c r="D47" s="8">
        <v>1.44</v>
      </c>
      <c r="E47" s="13">
        <f t="shared" si="0"/>
        <v>0.84615384615384615</v>
      </c>
      <c r="F47" s="8">
        <f t="shared" si="1"/>
        <v>0</v>
      </c>
      <c r="G47" s="8">
        <f t="shared" si="2"/>
        <v>0.56000000000000005</v>
      </c>
      <c r="H47" s="20"/>
    </row>
    <row r="48" spans="2:10" x14ac:dyDescent="0.45">
      <c r="B48" s="4" t="s">
        <v>40</v>
      </c>
      <c r="C48" s="8">
        <v>2.5</v>
      </c>
      <c r="D48" s="8">
        <v>1.47</v>
      </c>
      <c r="E48" s="13">
        <f t="shared" si="0"/>
        <v>0.86538461538461542</v>
      </c>
      <c r="F48" s="8">
        <f t="shared" si="1"/>
        <v>0</v>
      </c>
      <c r="G48" s="8">
        <f t="shared" si="2"/>
        <v>1.03</v>
      </c>
      <c r="H48" s="20"/>
    </row>
    <row r="49" spans="2:8" x14ac:dyDescent="0.45">
      <c r="B49" s="4" t="s">
        <v>14</v>
      </c>
      <c r="C49" s="8">
        <v>1.7</v>
      </c>
      <c r="D49" s="8">
        <v>1.53</v>
      </c>
      <c r="E49" s="13">
        <f t="shared" si="0"/>
        <v>0.88461538461538458</v>
      </c>
      <c r="F49" s="8">
        <f t="shared" si="1"/>
        <v>0</v>
      </c>
      <c r="G49" s="8">
        <f t="shared" si="2"/>
        <v>0.16999999999999993</v>
      </c>
      <c r="H49" s="20"/>
    </row>
    <row r="50" spans="2:8" x14ac:dyDescent="0.45">
      <c r="B50" s="4" t="s">
        <v>20</v>
      </c>
      <c r="C50" s="8">
        <v>2.2000000000000002</v>
      </c>
      <c r="D50" s="8">
        <v>1.56</v>
      </c>
      <c r="E50" s="13">
        <f t="shared" si="0"/>
        <v>0.90384615384615385</v>
      </c>
      <c r="F50" s="8">
        <f t="shared" si="1"/>
        <v>0</v>
      </c>
      <c r="G50" s="8">
        <f t="shared" si="2"/>
        <v>0.64000000000000012</v>
      </c>
      <c r="H50" s="20"/>
    </row>
    <row r="51" spans="2:8" x14ac:dyDescent="0.45">
      <c r="B51" s="4" t="s">
        <v>18</v>
      </c>
      <c r="C51" s="8">
        <v>1.8</v>
      </c>
      <c r="D51" s="8">
        <v>1.59</v>
      </c>
      <c r="E51" s="13">
        <f t="shared" si="0"/>
        <v>0.92307692307692313</v>
      </c>
      <c r="F51" s="8">
        <f t="shared" si="1"/>
        <v>0</v>
      </c>
      <c r="G51" s="8">
        <f t="shared" si="2"/>
        <v>0.20999999999999996</v>
      </c>
      <c r="H51" s="20"/>
    </row>
    <row r="52" spans="2:8" x14ac:dyDescent="0.45">
      <c r="B52" s="4" t="s">
        <v>37</v>
      </c>
      <c r="C52" s="8">
        <v>2.1</v>
      </c>
      <c r="D52" s="8">
        <v>1.59</v>
      </c>
      <c r="E52" s="13">
        <f t="shared" si="0"/>
        <v>0.94230769230769229</v>
      </c>
      <c r="F52" s="8">
        <f t="shared" si="1"/>
        <v>0</v>
      </c>
      <c r="G52" s="8">
        <f t="shared" si="2"/>
        <v>0.51</v>
      </c>
      <c r="H52" s="20"/>
    </row>
    <row r="53" spans="2:8" x14ac:dyDescent="0.45">
      <c r="B53" s="4" t="s">
        <v>21</v>
      </c>
      <c r="C53" s="8">
        <v>2</v>
      </c>
      <c r="D53" s="8">
        <v>1.68</v>
      </c>
      <c r="E53" s="13">
        <f t="shared" si="0"/>
        <v>0.96153846153846156</v>
      </c>
      <c r="F53" s="8">
        <f t="shared" si="1"/>
        <v>0</v>
      </c>
      <c r="G53" s="8">
        <f t="shared" si="2"/>
        <v>0.32000000000000006</v>
      </c>
      <c r="H53" s="20"/>
    </row>
    <row r="54" spans="2:8" x14ac:dyDescent="0.45">
      <c r="B54" s="4" t="s">
        <v>11</v>
      </c>
      <c r="C54" s="8">
        <v>2.1</v>
      </c>
      <c r="D54" s="8">
        <v>1.78</v>
      </c>
      <c r="E54" s="13">
        <f t="shared" si="0"/>
        <v>0.98076923076923073</v>
      </c>
      <c r="F54" s="8">
        <f t="shared" si="1"/>
        <v>0</v>
      </c>
      <c r="G54" s="8">
        <f t="shared" si="2"/>
        <v>0.32000000000000006</v>
      </c>
      <c r="H54" s="20"/>
    </row>
    <row r="55" spans="2:8" x14ac:dyDescent="0.45">
      <c r="B55" s="5"/>
      <c r="C55" s="9"/>
      <c r="D55" s="9"/>
      <c r="E55" s="14">
        <f t="shared" si="0"/>
        <v>1</v>
      </c>
      <c r="F55" s="9">
        <f t="shared" si="1"/>
        <v>0</v>
      </c>
      <c r="G55" s="9">
        <f t="shared" si="2"/>
        <v>0</v>
      </c>
      <c r="H55" s="20"/>
    </row>
    <row r="56" spans="2:8" x14ac:dyDescent="0.45">
      <c r="B56" s="10" t="s">
        <v>53</v>
      </c>
      <c r="C56" s="11"/>
      <c r="D56" s="11"/>
      <c r="E56" s="11"/>
      <c r="F56" s="11"/>
      <c r="G56" s="11"/>
      <c r="H56" s="18"/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Dumbbell 1</vt:lpstr>
      <vt:lpstr>Dumbbell 2</vt:lpstr>
      <vt:lpstr>Range Bar</vt:lpstr>
    </vt:vector>
  </TitlesOfParts>
  <Company>simplexCT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Bou Habib</dc:creator>
  <cp:lastModifiedBy>hichambh</cp:lastModifiedBy>
  <dcterms:created xsi:type="dcterms:W3CDTF">2020-03-08T10:40:17Z</dcterms:created>
  <dcterms:modified xsi:type="dcterms:W3CDTF">2020-06-11T09:52:08Z</dcterms:modified>
</cp:coreProperties>
</file>